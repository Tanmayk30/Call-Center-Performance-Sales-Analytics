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hidePivotFieldList="1"/>
  <mc:AlternateContent xmlns:mc="http://schemas.openxmlformats.org/markup-compatibility/2006">
    <mc:Choice Requires="x15">
      <x15ac:absPath xmlns:x15ac="http://schemas.microsoft.com/office/spreadsheetml/2010/11/ac" url="C:\Users\tanmay\Downloads\4-hour-course-xl-files\"/>
    </mc:Choice>
  </mc:AlternateContent>
  <xr:revisionPtr revIDLastSave="0" documentId="13_ncr:1_{A654E8A9-C1BB-4EE9-B764-C050DF5BC43E}" xr6:coauthVersionLast="47" xr6:coauthVersionMax="47" xr10:uidLastSave="{00000000-0000-0000-0000-000000000000}"/>
  <bookViews>
    <workbookView xWindow="-108" yWindow="-108" windowWidth="23256" windowHeight="12456" activeTab="2" xr2:uid="{26D4546B-D2A1-4444-8EAF-A6228F96F0C1}"/>
  </bookViews>
  <sheets>
    <sheet name="Data" sheetId="2" r:id="rId1"/>
    <sheet name="Pivots" sheetId="6" r:id="rId2"/>
    <sheet name="Customer center Report" sheetId="5" r:id="rId3"/>
    <sheet name="Assets" sheetId="4" r:id="rId4"/>
  </sheets>
  <definedNames>
    <definedName name="_xlnm._FilterDatabase" localSheetId="0" hidden="1">Data!$B$3:$H$1003</definedName>
    <definedName name="_xlcn.WorksheetConnection_07.sampledataexcelportfolioproject.xlsxcalls" hidden="1">calls[]</definedName>
    <definedName name="_xlcn.WorksheetConnection_07.sampledataexcelportfolioproject.xlsxcustomers" hidden="1">customers[]</definedName>
    <definedName name="Slicer_Representative">#N/A</definedName>
  </definedNames>
  <calcPr calcId="191029"/>
  <pivotCaches>
    <pivotCache cacheId="0" r:id="rId5"/>
    <pivotCache cacheId="1" r:id="rId6"/>
    <pivotCache cacheId="2" r:id="rId7"/>
    <pivotCache cacheId="3" r:id="rId8"/>
    <pivotCache cacheId="12" r:id="rId9"/>
    <pivotCache cacheId="15" r:id="rId10"/>
    <pivotCache cacheId="18" r:id="rId11"/>
    <pivotCache cacheId="21" r:id="rId12"/>
    <pivotCache cacheId="24" r:id="rId13"/>
  </pivotCaches>
  <extLst>
    <ext xmlns:x14="http://schemas.microsoft.com/office/spreadsheetml/2009/9/main" uri="{876F7934-8845-4945-9796-88D515C7AA90}">
      <x14:pivotCaches>
        <pivotCache cacheId="9"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07.sample-data-excel-portfolio-project.xlsx!customers"/>
          <x15:modelTable id="calls" name="calls" connection="WorksheetConnection_07.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64" i="6" l="1"/>
  <c r="I66" i="6" s="1"/>
  <c r="I72" i="6" s="1"/>
  <c r="P43" i="5" s="1"/>
  <c r="I63" i="6"/>
  <c r="I65" i="6" s="1"/>
  <c r="I71" i="6" s="1"/>
  <c r="P42" i="5" s="1"/>
  <c r="R25" i="5" a="1"/>
  <c r="R25" i="5" s="1"/>
  <c r="S24" i="5" a="1"/>
  <c r="S24" i="5" s="1"/>
  <c r="E46" i="6"/>
  <c r="E46" i="6" a="1"/>
  <c r="H42" i="6"/>
  <c r="I46" i="6" s="1"/>
  <c r="L1003" i="2"/>
  <c r="K1003" i="2"/>
  <c r="K1003" i="2" a="1"/>
  <c r="J1003" i="2"/>
  <c r="I1003" i="2"/>
  <c r="L1002" i="2"/>
  <c r="K1002" i="2"/>
  <c r="K1002" i="2" a="1"/>
  <c r="J1002" i="2"/>
  <c r="I1002" i="2"/>
  <c r="L1001" i="2"/>
  <c r="K1001" i="2"/>
  <c r="K1001" i="2" a="1"/>
  <c r="J1001" i="2"/>
  <c r="I1001" i="2"/>
  <c r="L1000" i="2"/>
  <c r="K1000" i="2"/>
  <c r="K1000" i="2" a="1"/>
  <c r="J1000" i="2"/>
  <c r="I1000" i="2"/>
  <c r="L999" i="2"/>
  <c r="K999" i="2"/>
  <c r="K999" i="2" a="1"/>
  <c r="J999" i="2"/>
  <c r="I999" i="2"/>
  <c r="L998" i="2"/>
  <c r="K998" i="2"/>
  <c r="K998" i="2" a="1"/>
  <c r="J998" i="2"/>
  <c r="I998" i="2"/>
  <c r="L997" i="2"/>
  <c r="K997" i="2"/>
  <c r="K997" i="2" a="1"/>
  <c r="J997" i="2"/>
  <c r="I997" i="2"/>
  <c r="L996" i="2"/>
  <c r="K996" i="2"/>
  <c r="K996" i="2" a="1"/>
  <c r="J996" i="2"/>
  <c r="I996" i="2"/>
  <c r="L995" i="2"/>
  <c r="K995" i="2"/>
  <c r="K995" i="2" a="1"/>
  <c r="J995" i="2"/>
  <c r="I995" i="2"/>
  <c r="L994" i="2"/>
  <c r="K994" i="2"/>
  <c r="K994" i="2" a="1"/>
  <c r="J994" i="2"/>
  <c r="I994" i="2"/>
  <c r="L993" i="2"/>
  <c r="K993" i="2"/>
  <c r="K993" i="2" a="1"/>
  <c r="J993" i="2"/>
  <c r="I993" i="2"/>
  <c r="L992" i="2"/>
  <c r="K992" i="2"/>
  <c r="K992" i="2" a="1"/>
  <c r="J992" i="2"/>
  <c r="I992" i="2"/>
  <c r="L991" i="2"/>
  <c r="K991" i="2"/>
  <c r="K991" i="2" a="1"/>
  <c r="J991" i="2"/>
  <c r="I991" i="2"/>
  <c r="L990" i="2"/>
  <c r="K990" i="2"/>
  <c r="K990" i="2" a="1"/>
  <c r="J990" i="2"/>
  <c r="I990" i="2"/>
  <c r="L989" i="2"/>
  <c r="K989" i="2"/>
  <c r="K989" i="2" a="1"/>
  <c r="J989" i="2"/>
  <c r="I989" i="2"/>
  <c r="L988" i="2"/>
  <c r="K988" i="2"/>
  <c r="K988" i="2" a="1"/>
  <c r="J988" i="2"/>
  <c r="I988" i="2"/>
  <c r="L987" i="2"/>
  <c r="K987" i="2"/>
  <c r="K987" i="2" a="1"/>
  <c r="J987" i="2"/>
  <c r="I987" i="2"/>
  <c r="L986" i="2"/>
  <c r="K986" i="2"/>
  <c r="K986" i="2" a="1"/>
  <c r="J986" i="2"/>
  <c r="I986" i="2"/>
  <c r="L985" i="2"/>
  <c r="K985" i="2"/>
  <c r="K985" i="2" a="1"/>
  <c r="J985" i="2"/>
  <c r="I985" i="2"/>
  <c r="L984" i="2"/>
  <c r="K984" i="2"/>
  <c r="K984" i="2" a="1"/>
  <c r="J984" i="2"/>
  <c r="I984" i="2"/>
  <c r="L983" i="2"/>
  <c r="K983" i="2"/>
  <c r="K983" i="2" a="1"/>
  <c r="J983" i="2"/>
  <c r="I983" i="2"/>
  <c r="L982" i="2"/>
  <c r="K982" i="2"/>
  <c r="K982" i="2" a="1"/>
  <c r="J982" i="2"/>
  <c r="I982" i="2"/>
  <c r="L981" i="2"/>
  <c r="K981" i="2"/>
  <c r="K981" i="2" a="1"/>
  <c r="J981" i="2"/>
  <c r="I981" i="2"/>
  <c r="L980" i="2"/>
  <c r="K980" i="2"/>
  <c r="K980" i="2" a="1"/>
  <c r="J980" i="2"/>
  <c r="I980" i="2"/>
  <c r="L979" i="2"/>
  <c r="K979" i="2"/>
  <c r="K979" i="2" a="1"/>
  <c r="J979" i="2"/>
  <c r="I979" i="2"/>
  <c r="L978" i="2"/>
  <c r="K978" i="2"/>
  <c r="K978" i="2" a="1"/>
  <c r="J978" i="2"/>
  <c r="I978" i="2"/>
  <c r="L977" i="2"/>
  <c r="K977" i="2"/>
  <c r="K977" i="2" a="1"/>
  <c r="J977" i="2"/>
  <c r="I977" i="2"/>
  <c r="L976" i="2"/>
  <c r="K976" i="2"/>
  <c r="K976" i="2" a="1"/>
  <c r="J976" i="2"/>
  <c r="I976" i="2"/>
  <c r="L975" i="2"/>
  <c r="K975" i="2"/>
  <c r="K975" i="2" a="1"/>
  <c r="J975" i="2"/>
  <c r="I975" i="2"/>
  <c r="L974" i="2"/>
  <c r="K974" i="2"/>
  <c r="K974" i="2" a="1"/>
  <c r="J974" i="2"/>
  <c r="I974" i="2"/>
  <c r="L973" i="2"/>
  <c r="K973" i="2"/>
  <c r="K973" i="2" a="1"/>
  <c r="J973" i="2"/>
  <c r="I973" i="2"/>
  <c r="L972" i="2"/>
  <c r="K972" i="2"/>
  <c r="K972" i="2" a="1"/>
  <c r="J972" i="2"/>
  <c r="I972" i="2"/>
  <c r="L971" i="2"/>
  <c r="K971" i="2"/>
  <c r="K971" i="2" a="1"/>
  <c r="J971" i="2"/>
  <c r="I971" i="2"/>
  <c r="L970" i="2"/>
  <c r="K970" i="2"/>
  <c r="K970" i="2" a="1"/>
  <c r="J970" i="2"/>
  <c r="I970" i="2"/>
  <c r="L969" i="2"/>
  <c r="K969" i="2"/>
  <c r="K969" i="2" a="1"/>
  <c r="J969" i="2"/>
  <c r="I969" i="2"/>
  <c r="L968" i="2"/>
  <c r="K968" i="2"/>
  <c r="K968" i="2" a="1"/>
  <c r="J968" i="2"/>
  <c r="I968" i="2"/>
  <c r="L967" i="2"/>
  <c r="K967" i="2"/>
  <c r="K967" i="2" a="1"/>
  <c r="J967" i="2"/>
  <c r="I967" i="2"/>
  <c r="L966" i="2"/>
  <c r="K966" i="2"/>
  <c r="K966" i="2" a="1"/>
  <c r="J966" i="2"/>
  <c r="I966" i="2"/>
  <c r="L965" i="2"/>
  <c r="K965" i="2"/>
  <c r="K965" i="2" a="1"/>
  <c r="J965" i="2"/>
  <c r="I965" i="2"/>
  <c r="L964" i="2"/>
  <c r="K964" i="2"/>
  <c r="K964" i="2" a="1"/>
  <c r="J964" i="2"/>
  <c r="I964" i="2"/>
  <c r="L963" i="2"/>
  <c r="K963" i="2"/>
  <c r="K963" i="2" a="1"/>
  <c r="J963" i="2"/>
  <c r="I963" i="2"/>
  <c r="L962" i="2"/>
  <c r="K962" i="2"/>
  <c r="K962" i="2" a="1"/>
  <c r="J962" i="2"/>
  <c r="I962" i="2"/>
  <c r="L961" i="2"/>
  <c r="K961" i="2"/>
  <c r="K961" i="2" a="1"/>
  <c r="J961" i="2"/>
  <c r="I961" i="2"/>
  <c r="L960" i="2"/>
  <c r="K960" i="2"/>
  <c r="K960" i="2" a="1"/>
  <c r="J960" i="2"/>
  <c r="I960" i="2"/>
  <c r="L959" i="2"/>
  <c r="K959" i="2"/>
  <c r="K959" i="2" a="1"/>
  <c r="J959" i="2"/>
  <c r="I959" i="2"/>
  <c r="L958" i="2"/>
  <c r="K958" i="2"/>
  <c r="K958" i="2" a="1"/>
  <c r="J958" i="2"/>
  <c r="I958" i="2"/>
  <c r="L957" i="2"/>
  <c r="K957" i="2"/>
  <c r="K957" i="2" a="1"/>
  <c r="J957" i="2"/>
  <c r="I957" i="2"/>
  <c r="L956" i="2"/>
  <c r="K956" i="2"/>
  <c r="K956" i="2" a="1"/>
  <c r="J956" i="2"/>
  <c r="I956" i="2"/>
  <c r="L955" i="2"/>
  <c r="K955" i="2"/>
  <c r="K955" i="2" a="1"/>
  <c r="J955" i="2"/>
  <c r="I955" i="2"/>
  <c r="L954" i="2"/>
  <c r="K954" i="2"/>
  <c r="K954" i="2" a="1"/>
  <c r="J954" i="2"/>
  <c r="I954" i="2"/>
  <c r="L953" i="2"/>
  <c r="K953" i="2"/>
  <c r="K953" i="2" a="1"/>
  <c r="J953" i="2"/>
  <c r="I953" i="2"/>
  <c r="L952" i="2"/>
  <c r="K952" i="2"/>
  <c r="K952" i="2" a="1"/>
  <c r="J952" i="2"/>
  <c r="I952" i="2"/>
  <c r="L951" i="2"/>
  <c r="K951" i="2"/>
  <c r="K951" i="2" a="1"/>
  <c r="J951" i="2"/>
  <c r="I951" i="2"/>
  <c r="L950" i="2"/>
  <c r="K950" i="2"/>
  <c r="K950" i="2" a="1"/>
  <c r="J950" i="2"/>
  <c r="I950" i="2"/>
  <c r="L949" i="2"/>
  <c r="K949" i="2"/>
  <c r="K949" i="2" a="1"/>
  <c r="J949" i="2"/>
  <c r="I949" i="2"/>
  <c r="L948" i="2"/>
  <c r="K948" i="2"/>
  <c r="K948" i="2" a="1"/>
  <c r="J948" i="2"/>
  <c r="I948" i="2"/>
  <c r="L947" i="2"/>
  <c r="K947" i="2"/>
  <c r="K947" i="2" a="1"/>
  <c r="J947" i="2"/>
  <c r="I947" i="2"/>
  <c r="L946" i="2"/>
  <c r="K946" i="2"/>
  <c r="K946" i="2" a="1"/>
  <c r="J946" i="2"/>
  <c r="I946" i="2"/>
  <c r="L945" i="2"/>
  <c r="K945" i="2"/>
  <c r="K945" i="2" a="1"/>
  <c r="J945" i="2"/>
  <c r="I945" i="2"/>
  <c r="L944" i="2"/>
  <c r="K944" i="2"/>
  <c r="K944" i="2" a="1"/>
  <c r="J944" i="2"/>
  <c r="I944" i="2"/>
  <c r="L943" i="2"/>
  <c r="K943" i="2"/>
  <c r="K943" i="2" a="1"/>
  <c r="J943" i="2"/>
  <c r="I943" i="2"/>
  <c r="L942" i="2"/>
  <c r="K942" i="2"/>
  <c r="K942" i="2" a="1"/>
  <c r="J942" i="2"/>
  <c r="I942" i="2"/>
  <c r="L941" i="2"/>
  <c r="K941" i="2"/>
  <c r="K941" i="2" a="1"/>
  <c r="J941" i="2"/>
  <c r="I941" i="2"/>
  <c r="L940" i="2"/>
  <c r="K940" i="2"/>
  <c r="K940" i="2" a="1"/>
  <c r="J940" i="2"/>
  <c r="I940" i="2"/>
  <c r="L939" i="2"/>
  <c r="K939" i="2"/>
  <c r="K939" i="2" a="1"/>
  <c r="J939" i="2"/>
  <c r="I939" i="2"/>
  <c r="L938" i="2"/>
  <c r="K938" i="2"/>
  <c r="K938" i="2" a="1"/>
  <c r="J938" i="2"/>
  <c r="I938" i="2"/>
  <c r="L937" i="2"/>
  <c r="K937" i="2"/>
  <c r="K937" i="2" a="1"/>
  <c r="J937" i="2"/>
  <c r="I937" i="2"/>
  <c r="L936" i="2"/>
  <c r="K936" i="2"/>
  <c r="K936" i="2" a="1"/>
  <c r="J936" i="2"/>
  <c r="I936" i="2"/>
  <c r="L935" i="2"/>
  <c r="K935" i="2"/>
  <c r="K935" i="2" a="1"/>
  <c r="J935" i="2"/>
  <c r="I935" i="2"/>
  <c r="L934" i="2"/>
  <c r="K934" i="2"/>
  <c r="K934" i="2" a="1"/>
  <c r="J934" i="2"/>
  <c r="I934" i="2"/>
  <c r="L933" i="2"/>
  <c r="K933" i="2"/>
  <c r="K933" i="2" a="1"/>
  <c r="J933" i="2"/>
  <c r="I933" i="2"/>
  <c r="L932" i="2"/>
  <c r="K932" i="2"/>
  <c r="K932" i="2" a="1"/>
  <c r="J932" i="2"/>
  <c r="I932" i="2"/>
  <c r="L931" i="2"/>
  <c r="K931" i="2"/>
  <c r="K931" i="2" a="1"/>
  <c r="J931" i="2"/>
  <c r="I931" i="2"/>
  <c r="L930" i="2"/>
  <c r="K930" i="2"/>
  <c r="K930" i="2" a="1"/>
  <c r="J930" i="2"/>
  <c r="I930" i="2"/>
  <c r="L929" i="2"/>
  <c r="K929" i="2"/>
  <c r="K929" i="2" a="1"/>
  <c r="J929" i="2"/>
  <c r="I929" i="2"/>
  <c r="L928" i="2"/>
  <c r="K928" i="2"/>
  <c r="K928" i="2" a="1"/>
  <c r="J928" i="2"/>
  <c r="I928" i="2"/>
  <c r="L927" i="2"/>
  <c r="K927" i="2"/>
  <c r="K927" i="2" a="1"/>
  <c r="J927" i="2"/>
  <c r="I927" i="2"/>
  <c r="L926" i="2"/>
  <c r="K926" i="2"/>
  <c r="K926" i="2" a="1"/>
  <c r="J926" i="2"/>
  <c r="I926" i="2"/>
  <c r="L925" i="2"/>
  <c r="K925" i="2"/>
  <c r="K925" i="2" a="1"/>
  <c r="J925" i="2"/>
  <c r="I925" i="2"/>
  <c r="L924" i="2"/>
  <c r="K924" i="2"/>
  <c r="K924" i="2" a="1"/>
  <c r="J924" i="2"/>
  <c r="I924" i="2"/>
  <c r="L923" i="2"/>
  <c r="K923" i="2"/>
  <c r="K923" i="2" a="1"/>
  <c r="J923" i="2"/>
  <c r="I923" i="2"/>
  <c r="L922" i="2"/>
  <c r="K922" i="2"/>
  <c r="K922" i="2" a="1"/>
  <c r="J922" i="2"/>
  <c r="I922" i="2"/>
  <c r="L921" i="2"/>
  <c r="K921" i="2"/>
  <c r="K921" i="2" a="1"/>
  <c r="J921" i="2"/>
  <c r="I921" i="2"/>
  <c r="L920" i="2"/>
  <c r="K920" i="2"/>
  <c r="K920" i="2" a="1"/>
  <c r="J920" i="2"/>
  <c r="I920" i="2"/>
  <c r="L919" i="2"/>
  <c r="K919" i="2"/>
  <c r="K919" i="2" a="1"/>
  <c r="J919" i="2"/>
  <c r="I919" i="2"/>
  <c r="L918" i="2"/>
  <c r="K918" i="2"/>
  <c r="K918" i="2" a="1"/>
  <c r="J918" i="2"/>
  <c r="I918" i="2"/>
  <c r="L917" i="2"/>
  <c r="K917" i="2"/>
  <c r="K917" i="2" a="1"/>
  <c r="J917" i="2"/>
  <c r="I917" i="2"/>
  <c r="L916" i="2"/>
  <c r="K916" i="2"/>
  <c r="K916" i="2" a="1"/>
  <c r="J916" i="2"/>
  <c r="I916" i="2"/>
  <c r="L915" i="2"/>
  <c r="K915" i="2"/>
  <c r="K915" i="2" a="1"/>
  <c r="J915" i="2"/>
  <c r="I915" i="2"/>
  <c r="L914" i="2"/>
  <c r="K914" i="2"/>
  <c r="K914" i="2" a="1"/>
  <c r="J914" i="2"/>
  <c r="I914" i="2"/>
  <c r="L913" i="2"/>
  <c r="K913" i="2"/>
  <c r="K913" i="2" a="1"/>
  <c r="J913" i="2"/>
  <c r="I913" i="2"/>
  <c r="L912" i="2"/>
  <c r="K912" i="2"/>
  <c r="K912" i="2" a="1"/>
  <c r="J912" i="2"/>
  <c r="I912" i="2"/>
  <c r="L911" i="2"/>
  <c r="K911" i="2"/>
  <c r="K911" i="2" a="1"/>
  <c r="J911" i="2"/>
  <c r="I911" i="2"/>
  <c r="L910" i="2"/>
  <c r="K910" i="2"/>
  <c r="K910" i="2" a="1"/>
  <c r="J910" i="2"/>
  <c r="I910" i="2"/>
  <c r="L909" i="2"/>
  <c r="K909" i="2"/>
  <c r="K909" i="2" a="1"/>
  <c r="J909" i="2"/>
  <c r="I909" i="2"/>
  <c r="L908" i="2"/>
  <c r="K908" i="2"/>
  <c r="K908" i="2" a="1"/>
  <c r="J908" i="2"/>
  <c r="I908" i="2"/>
  <c r="L907" i="2"/>
  <c r="K907" i="2"/>
  <c r="K907" i="2" a="1"/>
  <c r="J907" i="2"/>
  <c r="I907" i="2"/>
  <c r="L906" i="2"/>
  <c r="K906" i="2"/>
  <c r="K906" i="2" a="1"/>
  <c r="J906" i="2"/>
  <c r="I906" i="2"/>
  <c r="L905" i="2"/>
  <c r="K905" i="2"/>
  <c r="K905" i="2" a="1"/>
  <c r="J905" i="2"/>
  <c r="I905" i="2"/>
  <c r="L904" i="2"/>
  <c r="K904" i="2"/>
  <c r="K904" i="2" a="1"/>
  <c r="J904" i="2"/>
  <c r="I904" i="2"/>
  <c r="L903" i="2"/>
  <c r="K903" i="2"/>
  <c r="K903" i="2" a="1"/>
  <c r="J903" i="2"/>
  <c r="I903" i="2"/>
  <c r="L902" i="2"/>
  <c r="K902" i="2"/>
  <c r="K902" i="2" a="1"/>
  <c r="J902" i="2"/>
  <c r="I902" i="2"/>
  <c r="L901" i="2"/>
  <c r="K901" i="2"/>
  <c r="K901" i="2" a="1"/>
  <c r="J901" i="2"/>
  <c r="I901" i="2"/>
  <c r="L900" i="2"/>
  <c r="K900" i="2"/>
  <c r="K900" i="2" a="1"/>
  <c r="J900" i="2"/>
  <c r="I900" i="2"/>
  <c r="L899" i="2"/>
  <c r="K899" i="2"/>
  <c r="K899" i="2" a="1"/>
  <c r="J899" i="2"/>
  <c r="I899" i="2"/>
  <c r="L898" i="2"/>
  <c r="K898" i="2"/>
  <c r="K898" i="2" a="1"/>
  <c r="J898" i="2"/>
  <c r="I898" i="2"/>
  <c r="L897" i="2"/>
  <c r="K897" i="2"/>
  <c r="K897" i="2" a="1"/>
  <c r="J897" i="2"/>
  <c r="I897" i="2"/>
  <c r="L896" i="2"/>
  <c r="K896" i="2"/>
  <c r="K896" i="2" a="1"/>
  <c r="J896" i="2"/>
  <c r="I896" i="2"/>
  <c r="L895" i="2"/>
  <c r="K895" i="2"/>
  <c r="K895" i="2" a="1"/>
  <c r="J895" i="2"/>
  <c r="I895" i="2"/>
  <c r="L894" i="2"/>
  <c r="K894" i="2"/>
  <c r="K894" i="2" a="1"/>
  <c r="J894" i="2"/>
  <c r="I894" i="2"/>
  <c r="L893" i="2"/>
  <c r="K893" i="2"/>
  <c r="K893" i="2" a="1"/>
  <c r="J893" i="2"/>
  <c r="I893" i="2"/>
  <c r="L892" i="2"/>
  <c r="K892" i="2"/>
  <c r="K892" i="2" a="1"/>
  <c r="J892" i="2"/>
  <c r="I892" i="2"/>
  <c r="L891" i="2"/>
  <c r="K891" i="2"/>
  <c r="K891" i="2" a="1"/>
  <c r="J891" i="2"/>
  <c r="I891" i="2"/>
  <c r="L890" i="2"/>
  <c r="K890" i="2"/>
  <c r="K890" i="2" a="1"/>
  <c r="J890" i="2"/>
  <c r="I890" i="2"/>
  <c r="L889" i="2"/>
  <c r="K889" i="2"/>
  <c r="K889" i="2" a="1"/>
  <c r="J889" i="2"/>
  <c r="I889" i="2"/>
  <c r="L888" i="2"/>
  <c r="K888" i="2"/>
  <c r="K888" i="2" a="1"/>
  <c r="J888" i="2"/>
  <c r="I888" i="2"/>
  <c r="L887" i="2"/>
  <c r="K887" i="2"/>
  <c r="K887" i="2" a="1"/>
  <c r="J887" i="2"/>
  <c r="I887" i="2"/>
  <c r="L886" i="2"/>
  <c r="K886" i="2"/>
  <c r="K886" i="2" a="1"/>
  <c r="J886" i="2"/>
  <c r="I886" i="2"/>
  <c r="L885" i="2"/>
  <c r="K885" i="2"/>
  <c r="K885" i="2" a="1"/>
  <c r="J885" i="2"/>
  <c r="I885" i="2"/>
  <c r="L884" i="2"/>
  <c r="K884" i="2"/>
  <c r="K884" i="2" a="1"/>
  <c r="J884" i="2"/>
  <c r="I884" i="2"/>
  <c r="L883" i="2"/>
  <c r="K883" i="2"/>
  <c r="K883" i="2" a="1"/>
  <c r="J883" i="2"/>
  <c r="I883" i="2"/>
  <c r="L882" i="2"/>
  <c r="K882" i="2"/>
  <c r="K882" i="2" a="1"/>
  <c r="J882" i="2"/>
  <c r="I882" i="2"/>
  <c r="L881" i="2"/>
  <c r="K881" i="2"/>
  <c r="K881" i="2" a="1"/>
  <c r="J881" i="2"/>
  <c r="I881" i="2"/>
  <c r="L880" i="2"/>
  <c r="K880" i="2"/>
  <c r="K880" i="2" a="1"/>
  <c r="J880" i="2"/>
  <c r="I880" i="2"/>
  <c r="L879" i="2"/>
  <c r="K879" i="2"/>
  <c r="K879" i="2" a="1"/>
  <c r="J879" i="2"/>
  <c r="I879" i="2"/>
  <c r="L878" i="2"/>
  <c r="K878" i="2"/>
  <c r="K878" i="2" a="1"/>
  <c r="J878" i="2"/>
  <c r="I878" i="2"/>
  <c r="L877" i="2"/>
  <c r="K877" i="2"/>
  <c r="K877" i="2" a="1"/>
  <c r="J877" i="2"/>
  <c r="I877" i="2"/>
  <c r="L876" i="2"/>
  <c r="K876" i="2"/>
  <c r="K876" i="2" a="1"/>
  <c r="J876" i="2"/>
  <c r="I876" i="2"/>
  <c r="L875" i="2"/>
  <c r="K875" i="2"/>
  <c r="K875" i="2" a="1"/>
  <c r="J875" i="2"/>
  <c r="I875" i="2"/>
  <c r="L874" i="2"/>
  <c r="K874" i="2"/>
  <c r="K874" i="2" a="1"/>
  <c r="J874" i="2"/>
  <c r="I874" i="2"/>
  <c r="L873" i="2"/>
  <c r="K873" i="2"/>
  <c r="K873" i="2" a="1"/>
  <c r="J873" i="2"/>
  <c r="I873" i="2"/>
  <c r="L872" i="2"/>
  <c r="K872" i="2"/>
  <c r="K872" i="2" a="1"/>
  <c r="J872" i="2"/>
  <c r="I872" i="2"/>
  <c r="L871" i="2"/>
  <c r="K871" i="2"/>
  <c r="K871" i="2" a="1"/>
  <c r="J871" i="2"/>
  <c r="I871" i="2"/>
  <c r="L870" i="2"/>
  <c r="K870" i="2"/>
  <c r="K870" i="2" a="1"/>
  <c r="J870" i="2"/>
  <c r="I870" i="2"/>
  <c r="L869" i="2"/>
  <c r="K869" i="2"/>
  <c r="K869" i="2" a="1"/>
  <c r="J869" i="2"/>
  <c r="I869" i="2"/>
  <c r="L868" i="2"/>
  <c r="K868" i="2"/>
  <c r="K868" i="2" a="1"/>
  <c r="J868" i="2"/>
  <c r="I868" i="2"/>
  <c r="L867" i="2"/>
  <c r="K867" i="2"/>
  <c r="K867" i="2" a="1"/>
  <c r="J867" i="2"/>
  <c r="I867" i="2"/>
  <c r="L866" i="2"/>
  <c r="K866" i="2"/>
  <c r="K866" i="2" a="1"/>
  <c r="J866" i="2"/>
  <c r="I866" i="2"/>
  <c r="L865" i="2"/>
  <c r="K865" i="2"/>
  <c r="K865" i="2" a="1"/>
  <c r="J865" i="2"/>
  <c r="I865" i="2"/>
  <c r="L864" i="2"/>
  <c r="K864" i="2"/>
  <c r="K864" i="2" a="1"/>
  <c r="J864" i="2"/>
  <c r="I864" i="2"/>
  <c r="L863" i="2"/>
  <c r="K863" i="2"/>
  <c r="K863" i="2" a="1"/>
  <c r="J863" i="2"/>
  <c r="I863" i="2"/>
  <c r="L862" i="2"/>
  <c r="K862" i="2"/>
  <c r="K862" i="2" a="1"/>
  <c r="J862" i="2"/>
  <c r="I862" i="2"/>
  <c r="L861" i="2"/>
  <c r="K861" i="2"/>
  <c r="K861" i="2" a="1"/>
  <c r="J861" i="2"/>
  <c r="I861" i="2"/>
  <c r="L860" i="2"/>
  <c r="K860" i="2"/>
  <c r="K860" i="2" a="1"/>
  <c r="J860" i="2"/>
  <c r="I860" i="2"/>
  <c r="L859" i="2"/>
  <c r="K859" i="2"/>
  <c r="K859" i="2" a="1"/>
  <c r="J859" i="2"/>
  <c r="I859" i="2"/>
  <c r="L858" i="2"/>
  <c r="K858" i="2"/>
  <c r="K858" i="2" a="1"/>
  <c r="J858" i="2"/>
  <c r="I858" i="2"/>
  <c r="L857" i="2"/>
  <c r="K857" i="2"/>
  <c r="K857" i="2" a="1"/>
  <c r="J857" i="2"/>
  <c r="I857" i="2"/>
  <c r="L856" i="2"/>
  <c r="K856" i="2"/>
  <c r="K856" i="2" a="1"/>
  <c r="J856" i="2"/>
  <c r="I856" i="2"/>
  <c r="L855" i="2"/>
  <c r="K855" i="2"/>
  <c r="K855" i="2" a="1"/>
  <c r="J855" i="2"/>
  <c r="I855" i="2"/>
  <c r="L854" i="2"/>
  <c r="K854" i="2"/>
  <c r="K854" i="2" a="1"/>
  <c r="J854" i="2"/>
  <c r="I854" i="2"/>
  <c r="L853" i="2"/>
  <c r="K853" i="2"/>
  <c r="K853" i="2" a="1"/>
  <c r="J853" i="2"/>
  <c r="I853" i="2"/>
  <c r="L852" i="2"/>
  <c r="K852" i="2"/>
  <c r="K852" i="2" a="1"/>
  <c r="J852" i="2"/>
  <c r="I852" i="2"/>
  <c r="L851" i="2"/>
  <c r="K851" i="2"/>
  <c r="K851" i="2" a="1"/>
  <c r="J851" i="2"/>
  <c r="I851" i="2"/>
  <c r="L850" i="2"/>
  <c r="K850" i="2"/>
  <c r="K850" i="2" a="1"/>
  <c r="J850" i="2"/>
  <c r="I850" i="2"/>
  <c r="L849" i="2"/>
  <c r="K849" i="2"/>
  <c r="K849" i="2" a="1"/>
  <c r="J849" i="2"/>
  <c r="I849" i="2"/>
  <c r="L848" i="2"/>
  <c r="K848" i="2"/>
  <c r="K848" i="2" a="1"/>
  <c r="J848" i="2"/>
  <c r="I848" i="2"/>
  <c r="L847" i="2"/>
  <c r="K847" i="2"/>
  <c r="K847" i="2" a="1"/>
  <c r="J847" i="2"/>
  <c r="I847" i="2"/>
  <c r="L846" i="2"/>
  <c r="K846" i="2"/>
  <c r="K846" i="2" a="1"/>
  <c r="J846" i="2"/>
  <c r="I846" i="2"/>
  <c r="L845" i="2"/>
  <c r="K845" i="2"/>
  <c r="K845" i="2" a="1"/>
  <c r="J845" i="2"/>
  <c r="I845" i="2"/>
  <c r="L844" i="2"/>
  <c r="K844" i="2"/>
  <c r="K844" i="2" a="1"/>
  <c r="J844" i="2"/>
  <c r="I844" i="2"/>
  <c r="L843" i="2"/>
  <c r="K843" i="2"/>
  <c r="K843" i="2" a="1"/>
  <c r="J843" i="2"/>
  <c r="I843" i="2"/>
  <c r="L842" i="2"/>
  <c r="K842" i="2"/>
  <c r="K842" i="2" a="1"/>
  <c r="J842" i="2"/>
  <c r="I842" i="2"/>
  <c r="L841" i="2"/>
  <c r="K841" i="2"/>
  <c r="K841" i="2" a="1"/>
  <c r="J841" i="2"/>
  <c r="I841" i="2"/>
  <c r="L840" i="2"/>
  <c r="K840" i="2"/>
  <c r="K840" i="2" a="1"/>
  <c r="J840" i="2"/>
  <c r="I840" i="2"/>
  <c r="L839" i="2"/>
  <c r="K839" i="2"/>
  <c r="K839" i="2" a="1"/>
  <c r="J839" i="2"/>
  <c r="I839" i="2"/>
  <c r="L838" i="2"/>
  <c r="K838" i="2"/>
  <c r="K838" i="2" a="1"/>
  <c r="J838" i="2"/>
  <c r="I838" i="2"/>
  <c r="L837" i="2"/>
  <c r="K837" i="2"/>
  <c r="K837" i="2" a="1"/>
  <c r="J837" i="2"/>
  <c r="I837" i="2"/>
  <c r="L836" i="2"/>
  <c r="K836" i="2"/>
  <c r="K836" i="2" a="1"/>
  <c r="J836" i="2"/>
  <c r="I836" i="2"/>
  <c r="L835" i="2"/>
  <c r="K835" i="2"/>
  <c r="K835" i="2" a="1"/>
  <c r="J835" i="2"/>
  <c r="I835" i="2"/>
  <c r="L834" i="2"/>
  <c r="K834" i="2"/>
  <c r="K834" i="2" a="1"/>
  <c r="J834" i="2"/>
  <c r="I834" i="2"/>
  <c r="L833" i="2"/>
  <c r="K833" i="2"/>
  <c r="K833" i="2" a="1"/>
  <c r="J833" i="2"/>
  <c r="I833" i="2"/>
  <c r="L832" i="2"/>
  <c r="K832" i="2"/>
  <c r="K832" i="2" a="1"/>
  <c r="J832" i="2"/>
  <c r="I832" i="2"/>
  <c r="L831" i="2"/>
  <c r="K831" i="2"/>
  <c r="K831" i="2" a="1"/>
  <c r="J831" i="2"/>
  <c r="I831" i="2"/>
  <c r="L830" i="2"/>
  <c r="K830" i="2"/>
  <c r="K830" i="2" a="1"/>
  <c r="J830" i="2"/>
  <c r="I830" i="2"/>
  <c r="L829" i="2"/>
  <c r="K829" i="2"/>
  <c r="K829" i="2" a="1"/>
  <c r="J829" i="2"/>
  <c r="I829" i="2"/>
  <c r="L828" i="2"/>
  <c r="K828" i="2"/>
  <c r="K828" i="2" a="1"/>
  <c r="J828" i="2"/>
  <c r="I828" i="2"/>
  <c r="L827" i="2"/>
  <c r="K827" i="2"/>
  <c r="K827" i="2" a="1"/>
  <c r="J827" i="2"/>
  <c r="I827" i="2"/>
  <c r="L826" i="2"/>
  <c r="K826" i="2"/>
  <c r="K826" i="2" a="1"/>
  <c r="J826" i="2"/>
  <c r="I826" i="2"/>
  <c r="L825" i="2"/>
  <c r="K825" i="2"/>
  <c r="K825" i="2" a="1"/>
  <c r="J825" i="2"/>
  <c r="I825" i="2"/>
  <c r="L824" i="2"/>
  <c r="K824" i="2"/>
  <c r="K824" i="2" a="1"/>
  <c r="J824" i="2"/>
  <c r="I824" i="2"/>
  <c r="L823" i="2"/>
  <c r="K823" i="2"/>
  <c r="K823" i="2" a="1"/>
  <c r="J823" i="2"/>
  <c r="I823" i="2"/>
  <c r="L822" i="2"/>
  <c r="K822" i="2"/>
  <c r="K822" i="2" a="1"/>
  <c r="J822" i="2"/>
  <c r="I822" i="2"/>
  <c r="L821" i="2"/>
  <c r="K821" i="2"/>
  <c r="K821" i="2" a="1"/>
  <c r="J821" i="2"/>
  <c r="I821" i="2"/>
  <c r="L820" i="2"/>
  <c r="K820" i="2"/>
  <c r="K820" i="2" a="1"/>
  <c r="J820" i="2"/>
  <c r="I820" i="2"/>
  <c r="L819" i="2"/>
  <c r="K819" i="2"/>
  <c r="K819" i="2" a="1"/>
  <c r="J819" i="2"/>
  <c r="I819" i="2"/>
  <c r="L818" i="2"/>
  <c r="K818" i="2"/>
  <c r="K818" i="2" a="1"/>
  <c r="J818" i="2"/>
  <c r="I818" i="2"/>
  <c r="L817" i="2"/>
  <c r="K817" i="2"/>
  <c r="K817" i="2" a="1"/>
  <c r="J817" i="2"/>
  <c r="I817" i="2"/>
  <c r="L816" i="2"/>
  <c r="K816" i="2"/>
  <c r="K816" i="2" a="1"/>
  <c r="J816" i="2"/>
  <c r="I816" i="2"/>
  <c r="L815" i="2"/>
  <c r="K815" i="2"/>
  <c r="K815" i="2" a="1"/>
  <c r="J815" i="2"/>
  <c r="I815" i="2"/>
  <c r="L814" i="2"/>
  <c r="K814" i="2"/>
  <c r="K814" i="2" a="1"/>
  <c r="J814" i="2"/>
  <c r="I814" i="2"/>
  <c r="L813" i="2"/>
  <c r="K813" i="2"/>
  <c r="K813" i="2" a="1"/>
  <c r="J813" i="2"/>
  <c r="I813" i="2"/>
  <c r="L812" i="2"/>
  <c r="K812" i="2"/>
  <c r="K812" i="2" a="1"/>
  <c r="J812" i="2"/>
  <c r="I812" i="2"/>
  <c r="L811" i="2"/>
  <c r="K811" i="2"/>
  <c r="K811" i="2" a="1"/>
  <c r="J811" i="2"/>
  <c r="I811" i="2"/>
  <c r="L810" i="2"/>
  <c r="K810" i="2"/>
  <c r="K810" i="2" a="1"/>
  <c r="J810" i="2"/>
  <c r="I810" i="2"/>
  <c r="L809" i="2"/>
  <c r="K809" i="2"/>
  <c r="K809" i="2" a="1"/>
  <c r="J809" i="2"/>
  <c r="I809" i="2"/>
  <c r="L808" i="2"/>
  <c r="K808" i="2"/>
  <c r="K808" i="2" a="1"/>
  <c r="J808" i="2"/>
  <c r="I808" i="2"/>
  <c r="L807" i="2"/>
  <c r="K807" i="2"/>
  <c r="K807" i="2" a="1"/>
  <c r="J807" i="2"/>
  <c r="I807" i="2"/>
  <c r="L806" i="2"/>
  <c r="K806" i="2"/>
  <c r="K806" i="2" a="1"/>
  <c r="J806" i="2"/>
  <c r="I806" i="2"/>
  <c r="L805" i="2"/>
  <c r="K805" i="2"/>
  <c r="K805" i="2" a="1"/>
  <c r="J805" i="2"/>
  <c r="I805" i="2"/>
  <c r="L804" i="2"/>
  <c r="K804" i="2"/>
  <c r="K804" i="2" a="1"/>
  <c r="J804" i="2"/>
  <c r="I804" i="2"/>
  <c r="L803" i="2"/>
  <c r="K803" i="2"/>
  <c r="K803" i="2" a="1"/>
  <c r="J803" i="2"/>
  <c r="I803" i="2"/>
  <c r="L802" i="2"/>
  <c r="K802" i="2"/>
  <c r="K802" i="2" a="1"/>
  <c r="J802" i="2"/>
  <c r="I802" i="2"/>
  <c r="L801" i="2"/>
  <c r="K801" i="2"/>
  <c r="K801" i="2" a="1"/>
  <c r="J801" i="2"/>
  <c r="I801" i="2"/>
  <c r="L800" i="2"/>
  <c r="K800" i="2"/>
  <c r="K800" i="2" a="1"/>
  <c r="J800" i="2"/>
  <c r="I800" i="2"/>
  <c r="L799" i="2"/>
  <c r="K799" i="2"/>
  <c r="K799" i="2" a="1"/>
  <c r="J799" i="2"/>
  <c r="I799" i="2"/>
  <c r="L798" i="2"/>
  <c r="K798" i="2"/>
  <c r="K798" i="2" a="1"/>
  <c r="J798" i="2"/>
  <c r="I798" i="2"/>
  <c r="L797" i="2"/>
  <c r="K797" i="2"/>
  <c r="K797" i="2" a="1"/>
  <c r="J797" i="2"/>
  <c r="I797" i="2"/>
  <c r="L796" i="2"/>
  <c r="K796" i="2"/>
  <c r="K796" i="2" a="1"/>
  <c r="J796" i="2"/>
  <c r="I796" i="2"/>
  <c r="L795" i="2"/>
  <c r="K795" i="2"/>
  <c r="K795" i="2" a="1"/>
  <c r="J795" i="2"/>
  <c r="I795" i="2"/>
  <c r="L794" i="2"/>
  <c r="K794" i="2"/>
  <c r="K794" i="2" a="1"/>
  <c r="J794" i="2"/>
  <c r="I794" i="2"/>
  <c r="L793" i="2"/>
  <c r="K793" i="2"/>
  <c r="K793" i="2" a="1"/>
  <c r="J793" i="2"/>
  <c r="I793" i="2"/>
  <c r="L792" i="2"/>
  <c r="K792" i="2"/>
  <c r="K792" i="2" a="1"/>
  <c r="J792" i="2"/>
  <c r="I792" i="2"/>
  <c r="L791" i="2"/>
  <c r="K791" i="2"/>
  <c r="K791" i="2" a="1"/>
  <c r="J791" i="2"/>
  <c r="I791" i="2"/>
  <c r="L790" i="2"/>
  <c r="K790" i="2"/>
  <c r="K790" i="2" a="1"/>
  <c r="J790" i="2"/>
  <c r="I790" i="2"/>
  <c r="L789" i="2"/>
  <c r="K789" i="2"/>
  <c r="K789" i="2" a="1"/>
  <c r="J789" i="2"/>
  <c r="I789" i="2"/>
  <c r="L788" i="2"/>
  <c r="K788" i="2"/>
  <c r="K788" i="2" a="1"/>
  <c r="J788" i="2"/>
  <c r="I788" i="2"/>
  <c r="L787" i="2"/>
  <c r="K787" i="2"/>
  <c r="K787" i="2" a="1"/>
  <c r="J787" i="2"/>
  <c r="I787" i="2"/>
  <c r="L786" i="2"/>
  <c r="K786" i="2"/>
  <c r="K786" i="2" a="1"/>
  <c r="J786" i="2"/>
  <c r="I786" i="2"/>
  <c r="L785" i="2"/>
  <c r="K785" i="2"/>
  <c r="K785" i="2" a="1"/>
  <c r="J785" i="2"/>
  <c r="I785" i="2"/>
  <c r="L784" i="2"/>
  <c r="K784" i="2"/>
  <c r="K784" i="2" a="1"/>
  <c r="J784" i="2"/>
  <c r="I784" i="2"/>
  <c r="L783" i="2"/>
  <c r="K783" i="2"/>
  <c r="K783" i="2" a="1"/>
  <c r="J783" i="2"/>
  <c r="I783" i="2"/>
  <c r="L782" i="2"/>
  <c r="K782" i="2"/>
  <c r="K782" i="2" a="1"/>
  <c r="J782" i="2"/>
  <c r="I782" i="2"/>
  <c r="L781" i="2"/>
  <c r="K781" i="2"/>
  <c r="K781" i="2" a="1"/>
  <c r="J781" i="2"/>
  <c r="I781" i="2"/>
  <c r="L780" i="2"/>
  <c r="K780" i="2"/>
  <c r="K780" i="2" a="1"/>
  <c r="J780" i="2"/>
  <c r="I780" i="2"/>
  <c r="L779" i="2"/>
  <c r="K779" i="2"/>
  <c r="K779" i="2" a="1"/>
  <c r="J779" i="2"/>
  <c r="I779" i="2"/>
  <c r="L778" i="2"/>
  <c r="K778" i="2"/>
  <c r="K778" i="2" a="1"/>
  <c r="J778" i="2"/>
  <c r="I778" i="2"/>
  <c r="L777" i="2"/>
  <c r="K777" i="2"/>
  <c r="K777" i="2" a="1"/>
  <c r="J777" i="2"/>
  <c r="I777" i="2"/>
  <c r="L776" i="2"/>
  <c r="K776" i="2"/>
  <c r="K776" i="2" a="1"/>
  <c r="J776" i="2"/>
  <c r="I776" i="2"/>
  <c r="L775" i="2"/>
  <c r="K775" i="2"/>
  <c r="K775" i="2" a="1"/>
  <c r="J775" i="2"/>
  <c r="I775" i="2"/>
  <c r="L774" i="2"/>
  <c r="K774" i="2"/>
  <c r="K774" i="2" a="1"/>
  <c r="J774" i="2"/>
  <c r="I774" i="2"/>
  <c r="L773" i="2"/>
  <c r="K773" i="2"/>
  <c r="K773" i="2" a="1"/>
  <c r="J773" i="2"/>
  <c r="I773" i="2"/>
  <c r="L772" i="2"/>
  <c r="K772" i="2"/>
  <c r="K772" i="2" a="1"/>
  <c r="J772" i="2"/>
  <c r="I772" i="2"/>
  <c r="L771" i="2"/>
  <c r="K771" i="2"/>
  <c r="K771" i="2" a="1"/>
  <c r="J771" i="2"/>
  <c r="I771" i="2"/>
  <c r="L770" i="2"/>
  <c r="K770" i="2"/>
  <c r="K770" i="2" a="1"/>
  <c r="J770" i="2"/>
  <c r="I770" i="2"/>
  <c r="L769" i="2"/>
  <c r="K769" i="2"/>
  <c r="K769" i="2" a="1"/>
  <c r="J769" i="2"/>
  <c r="I769" i="2"/>
  <c r="L768" i="2"/>
  <c r="K768" i="2"/>
  <c r="K768" i="2" a="1"/>
  <c r="J768" i="2"/>
  <c r="I768" i="2"/>
  <c r="L767" i="2"/>
  <c r="K767" i="2"/>
  <c r="K767" i="2" a="1"/>
  <c r="J767" i="2"/>
  <c r="I767" i="2"/>
  <c r="L766" i="2"/>
  <c r="K766" i="2"/>
  <c r="K766" i="2" a="1"/>
  <c r="J766" i="2"/>
  <c r="I766" i="2"/>
  <c r="L765" i="2"/>
  <c r="K765" i="2"/>
  <c r="K765" i="2" a="1"/>
  <c r="J765" i="2"/>
  <c r="I765" i="2"/>
  <c r="L764" i="2"/>
  <c r="K764" i="2"/>
  <c r="K764" i="2" a="1"/>
  <c r="J764" i="2"/>
  <c r="I764" i="2"/>
  <c r="L763" i="2"/>
  <c r="K763" i="2"/>
  <c r="K763" i="2" a="1"/>
  <c r="J763" i="2"/>
  <c r="I763" i="2"/>
  <c r="L762" i="2"/>
  <c r="K762" i="2"/>
  <c r="K762" i="2" a="1"/>
  <c r="J762" i="2"/>
  <c r="I762" i="2"/>
  <c r="L761" i="2"/>
  <c r="K761" i="2"/>
  <c r="K761" i="2" a="1"/>
  <c r="J761" i="2"/>
  <c r="I761" i="2"/>
  <c r="L760" i="2"/>
  <c r="K760" i="2"/>
  <c r="K760" i="2" a="1"/>
  <c r="J760" i="2"/>
  <c r="I760" i="2"/>
  <c r="L759" i="2"/>
  <c r="K759" i="2"/>
  <c r="K759" i="2" a="1"/>
  <c r="J759" i="2"/>
  <c r="I759" i="2"/>
  <c r="L758" i="2"/>
  <c r="K758" i="2"/>
  <c r="K758" i="2" a="1"/>
  <c r="J758" i="2"/>
  <c r="I758" i="2"/>
  <c r="L757" i="2"/>
  <c r="K757" i="2"/>
  <c r="K757" i="2" a="1"/>
  <c r="J757" i="2"/>
  <c r="I757" i="2"/>
  <c r="L756" i="2"/>
  <c r="K756" i="2"/>
  <c r="K756" i="2" a="1"/>
  <c r="J756" i="2"/>
  <c r="I756" i="2"/>
  <c r="L755" i="2"/>
  <c r="K755" i="2"/>
  <c r="K755" i="2" a="1"/>
  <c r="J755" i="2"/>
  <c r="I755" i="2"/>
  <c r="L754" i="2"/>
  <c r="K754" i="2"/>
  <c r="K754" i="2" a="1"/>
  <c r="J754" i="2"/>
  <c r="I754" i="2"/>
  <c r="L753" i="2"/>
  <c r="K753" i="2"/>
  <c r="K753" i="2" a="1"/>
  <c r="J753" i="2"/>
  <c r="I753" i="2"/>
  <c r="L752" i="2"/>
  <c r="K752" i="2"/>
  <c r="K752" i="2" a="1"/>
  <c r="J752" i="2"/>
  <c r="I752" i="2"/>
  <c r="L751" i="2"/>
  <c r="K751" i="2"/>
  <c r="K751" i="2" a="1"/>
  <c r="J751" i="2"/>
  <c r="I751" i="2"/>
  <c r="L750" i="2"/>
  <c r="K750" i="2"/>
  <c r="K750" i="2" a="1"/>
  <c r="J750" i="2"/>
  <c r="I750" i="2"/>
  <c r="L749" i="2"/>
  <c r="K749" i="2"/>
  <c r="K749" i="2" a="1"/>
  <c r="J749" i="2"/>
  <c r="I749" i="2"/>
  <c r="L748" i="2"/>
  <c r="K748" i="2"/>
  <c r="K748" i="2" a="1"/>
  <c r="J748" i="2"/>
  <c r="I748" i="2"/>
  <c r="L747" i="2"/>
  <c r="K747" i="2"/>
  <c r="K747" i="2" a="1"/>
  <c r="J747" i="2"/>
  <c r="I747" i="2"/>
  <c r="L746" i="2"/>
  <c r="K746" i="2"/>
  <c r="K746" i="2" a="1"/>
  <c r="J746" i="2"/>
  <c r="I746" i="2"/>
  <c r="L745" i="2"/>
  <c r="K745" i="2"/>
  <c r="K745" i="2" a="1"/>
  <c r="J745" i="2"/>
  <c r="I745" i="2"/>
  <c r="L744" i="2"/>
  <c r="K744" i="2"/>
  <c r="K744" i="2" a="1"/>
  <c r="J744" i="2"/>
  <c r="I744" i="2"/>
  <c r="L743" i="2"/>
  <c r="K743" i="2"/>
  <c r="K743" i="2" a="1"/>
  <c r="J743" i="2"/>
  <c r="I743" i="2"/>
  <c r="L742" i="2"/>
  <c r="K742" i="2"/>
  <c r="K742" i="2" a="1"/>
  <c r="J742" i="2"/>
  <c r="I742" i="2"/>
  <c r="L741" i="2"/>
  <c r="K741" i="2"/>
  <c r="K741" i="2" a="1"/>
  <c r="J741" i="2"/>
  <c r="I741" i="2"/>
  <c r="L740" i="2"/>
  <c r="K740" i="2"/>
  <c r="K740" i="2" a="1"/>
  <c r="J740" i="2"/>
  <c r="I740" i="2"/>
  <c r="L739" i="2"/>
  <c r="K739" i="2"/>
  <c r="K739" i="2" a="1"/>
  <c r="J739" i="2"/>
  <c r="I739" i="2"/>
  <c r="L738" i="2"/>
  <c r="K738" i="2"/>
  <c r="K738" i="2" a="1"/>
  <c r="J738" i="2"/>
  <c r="I738" i="2"/>
  <c r="L737" i="2"/>
  <c r="K737" i="2"/>
  <c r="K737" i="2" a="1"/>
  <c r="J737" i="2"/>
  <c r="I737" i="2"/>
  <c r="L736" i="2"/>
  <c r="K736" i="2"/>
  <c r="K736" i="2" a="1"/>
  <c r="J736" i="2"/>
  <c r="I736" i="2"/>
  <c r="L735" i="2"/>
  <c r="K735" i="2"/>
  <c r="K735" i="2" a="1"/>
  <c r="J735" i="2"/>
  <c r="I735" i="2"/>
  <c r="L734" i="2"/>
  <c r="K734" i="2"/>
  <c r="K734" i="2" a="1"/>
  <c r="J734" i="2"/>
  <c r="I734" i="2"/>
  <c r="L733" i="2"/>
  <c r="K733" i="2"/>
  <c r="K733" i="2" a="1"/>
  <c r="J733" i="2"/>
  <c r="I733" i="2"/>
  <c r="L732" i="2"/>
  <c r="K732" i="2"/>
  <c r="K732" i="2" a="1"/>
  <c r="J732" i="2"/>
  <c r="I732" i="2"/>
  <c r="L731" i="2"/>
  <c r="K731" i="2"/>
  <c r="K731" i="2" a="1"/>
  <c r="J731" i="2"/>
  <c r="I731" i="2"/>
  <c r="L730" i="2"/>
  <c r="K730" i="2"/>
  <c r="K730" i="2" a="1"/>
  <c r="J730" i="2"/>
  <c r="I730" i="2"/>
  <c r="L729" i="2"/>
  <c r="K729" i="2"/>
  <c r="K729" i="2" a="1"/>
  <c r="J729" i="2"/>
  <c r="I729" i="2"/>
  <c r="L728" i="2"/>
  <c r="K728" i="2"/>
  <c r="K728" i="2" a="1"/>
  <c r="J728" i="2"/>
  <c r="I728" i="2"/>
  <c r="L727" i="2"/>
  <c r="K727" i="2"/>
  <c r="K727" i="2" a="1"/>
  <c r="J727" i="2"/>
  <c r="I727" i="2"/>
  <c r="L726" i="2"/>
  <c r="K726" i="2"/>
  <c r="K726" i="2" a="1"/>
  <c r="J726" i="2"/>
  <c r="I726" i="2"/>
  <c r="L725" i="2"/>
  <c r="K725" i="2"/>
  <c r="K725" i="2" a="1"/>
  <c r="J725" i="2"/>
  <c r="I725" i="2"/>
  <c r="L724" i="2"/>
  <c r="K724" i="2"/>
  <c r="K724" i="2" a="1"/>
  <c r="J724" i="2"/>
  <c r="I724" i="2"/>
  <c r="L723" i="2"/>
  <c r="K723" i="2"/>
  <c r="K723" i="2" a="1"/>
  <c r="J723" i="2"/>
  <c r="I723" i="2"/>
  <c r="L722" i="2"/>
  <c r="K722" i="2"/>
  <c r="K722" i="2" a="1"/>
  <c r="J722" i="2"/>
  <c r="I722" i="2"/>
  <c r="L721" i="2"/>
  <c r="K721" i="2"/>
  <c r="K721" i="2" a="1"/>
  <c r="J721" i="2"/>
  <c r="I721" i="2"/>
  <c r="L720" i="2"/>
  <c r="K720" i="2"/>
  <c r="K720" i="2" a="1"/>
  <c r="J720" i="2"/>
  <c r="I720" i="2"/>
  <c r="L719" i="2"/>
  <c r="K719" i="2"/>
  <c r="K719" i="2" a="1"/>
  <c r="J719" i="2"/>
  <c r="I719" i="2"/>
  <c r="L718" i="2"/>
  <c r="K718" i="2"/>
  <c r="K718" i="2" a="1"/>
  <c r="J718" i="2"/>
  <c r="I718" i="2"/>
  <c r="L717" i="2"/>
  <c r="K717" i="2"/>
  <c r="K717" i="2" a="1"/>
  <c r="J717" i="2"/>
  <c r="I717" i="2"/>
  <c r="L716" i="2"/>
  <c r="K716" i="2"/>
  <c r="K716" i="2" a="1"/>
  <c r="J716" i="2"/>
  <c r="I716" i="2"/>
  <c r="L715" i="2"/>
  <c r="K715" i="2"/>
  <c r="K715" i="2" a="1"/>
  <c r="J715" i="2"/>
  <c r="I715" i="2"/>
  <c r="L714" i="2"/>
  <c r="K714" i="2"/>
  <c r="K714" i="2" a="1"/>
  <c r="J714" i="2"/>
  <c r="I714" i="2"/>
  <c r="L713" i="2"/>
  <c r="K713" i="2"/>
  <c r="K713" i="2" a="1"/>
  <c r="J713" i="2"/>
  <c r="I713" i="2"/>
  <c r="L712" i="2"/>
  <c r="K712" i="2"/>
  <c r="K712" i="2" a="1"/>
  <c r="J712" i="2"/>
  <c r="I712" i="2"/>
  <c r="L711" i="2"/>
  <c r="K711" i="2"/>
  <c r="K711" i="2" a="1"/>
  <c r="J711" i="2"/>
  <c r="I711" i="2"/>
  <c r="L710" i="2"/>
  <c r="K710" i="2"/>
  <c r="K710" i="2" a="1"/>
  <c r="J710" i="2"/>
  <c r="I710" i="2"/>
  <c r="L709" i="2"/>
  <c r="K709" i="2"/>
  <c r="K709" i="2" a="1"/>
  <c r="J709" i="2"/>
  <c r="I709" i="2"/>
  <c r="L708" i="2"/>
  <c r="K708" i="2"/>
  <c r="K708" i="2" a="1"/>
  <c r="J708" i="2"/>
  <c r="I708" i="2"/>
  <c r="L707" i="2"/>
  <c r="K707" i="2"/>
  <c r="K707" i="2" a="1"/>
  <c r="J707" i="2"/>
  <c r="I707" i="2"/>
  <c r="L706" i="2"/>
  <c r="K706" i="2"/>
  <c r="K706" i="2" a="1"/>
  <c r="J706" i="2"/>
  <c r="I706" i="2"/>
  <c r="L705" i="2"/>
  <c r="K705" i="2"/>
  <c r="K705" i="2" a="1"/>
  <c r="J705" i="2"/>
  <c r="I705" i="2"/>
  <c r="L704" i="2"/>
  <c r="K704" i="2"/>
  <c r="K704" i="2" a="1"/>
  <c r="J704" i="2"/>
  <c r="I704" i="2"/>
  <c r="L703" i="2"/>
  <c r="K703" i="2"/>
  <c r="K703" i="2" a="1"/>
  <c r="J703" i="2"/>
  <c r="I703" i="2"/>
  <c r="L702" i="2"/>
  <c r="K702" i="2"/>
  <c r="K702" i="2" a="1"/>
  <c r="J702" i="2"/>
  <c r="I702" i="2"/>
  <c r="L701" i="2"/>
  <c r="K701" i="2"/>
  <c r="K701" i="2" a="1"/>
  <c r="J701" i="2"/>
  <c r="I701" i="2"/>
  <c r="L700" i="2"/>
  <c r="K700" i="2"/>
  <c r="K700" i="2" a="1"/>
  <c r="J700" i="2"/>
  <c r="I700" i="2"/>
  <c r="L699" i="2"/>
  <c r="K699" i="2"/>
  <c r="K699" i="2" a="1"/>
  <c r="J699" i="2"/>
  <c r="I699" i="2"/>
  <c r="L698" i="2"/>
  <c r="K698" i="2"/>
  <c r="K698" i="2" a="1"/>
  <c r="J698" i="2"/>
  <c r="I698" i="2"/>
  <c r="L697" i="2"/>
  <c r="K697" i="2"/>
  <c r="K697" i="2" a="1"/>
  <c r="J697" i="2"/>
  <c r="I697" i="2"/>
  <c r="L696" i="2"/>
  <c r="K696" i="2"/>
  <c r="K696" i="2" a="1"/>
  <c r="J696" i="2"/>
  <c r="I696" i="2"/>
  <c r="L695" i="2"/>
  <c r="K695" i="2"/>
  <c r="K695" i="2" a="1"/>
  <c r="J695" i="2"/>
  <c r="I695" i="2"/>
  <c r="L694" i="2"/>
  <c r="K694" i="2"/>
  <c r="K694" i="2" a="1"/>
  <c r="J694" i="2"/>
  <c r="I694" i="2"/>
  <c r="L693" i="2"/>
  <c r="K693" i="2"/>
  <c r="K693" i="2" a="1"/>
  <c r="J693" i="2"/>
  <c r="I693" i="2"/>
  <c r="L692" i="2"/>
  <c r="K692" i="2"/>
  <c r="K692" i="2" a="1"/>
  <c r="J692" i="2"/>
  <c r="I692" i="2"/>
  <c r="L691" i="2"/>
  <c r="K691" i="2"/>
  <c r="K691" i="2" a="1"/>
  <c r="J691" i="2"/>
  <c r="I691" i="2"/>
  <c r="L690" i="2"/>
  <c r="K690" i="2"/>
  <c r="K690" i="2" a="1"/>
  <c r="J690" i="2"/>
  <c r="I690" i="2"/>
  <c r="L689" i="2"/>
  <c r="K689" i="2"/>
  <c r="K689" i="2" a="1"/>
  <c r="J689" i="2"/>
  <c r="I689" i="2"/>
  <c r="L688" i="2"/>
  <c r="K688" i="2"/>
  <c r="K688" i="2" a="1"/>
  <c r="J688" i="2"/>
  <c r="I688" i="2"/>
  <c r="L687" i="2"/>
  <c r="K687" i="2"/>
  <c r="K687" i="2" a="1"/>
  <c r="J687" i="2"/>
  <c r="I687" i="2"/>
  <c r="L686" i="2"/>
  <c r="K686" i="2"/>
  <c r="K686" i="2" a="1"/>
  <c r="J686" i="2"/>
  <c r="I686" i="2"/>
  <c r="L685" i="2"/>
  <c r="K685" i="2"/>
  <c r="K685" i="2" a="1"/>
  <c r="J685" i="2"/>
  <c r="I685" i="2"/>
  <c r="L684" i="2"/>
  <c r="K684" i="2"/>
  <c r="K684" i="2" a="1"/>
  <c r="J684" i="2"/>
  <c r="I684" i="2"/>
  <c r="L683" i="2"/>
  <c r="K683" i="2"/>
  <c r="K683" i="2" a="1"/>
  <c r="J683" i="2"/>
  <c r="I683" i="2"/>
  <c r="L682" i="2"/>
  <c r="K682" i="2"/>
  <c r="K682" i="2" a="1"/>
  <c r="J682" i="2"/>
  <c r="I682" i="2"/>
  <c r="L681" i="2"/>
  <c r="K681" i="2"/>
  <c r="K681" i="2" a="1"/>
  <c r="J681" i="2"/>
  <c r="I681" i="2"/>
  <c r="L680" i="2"/>
  <c r="K680" i="2"/>
  <c r="K680" i="2" a="1"/>
  <c r="J680" i="2"/>
  <c r="I680" i="2"/>
  <c r="L679" i="2"/>
  <c r="K679" i="2"/>
  <c r="K679" i="2" a="1"/>
  <c r="J679" i="2"/>
  <c r="I679" i="2"/>
  <c r="L678" i="2"/>
  <c r="K678" i="2"/>
  <c r="K678" i="2" a="1"/>
  <c r="J678" i="2"/>
  <c r="I678" i="2"/>
  <c r="L677" i="2"/>
  <c r="K677" i="2"/>
  <c r="K677" i="2" a="1"/>
  <c r="J677" i="2"/>
  <c r="I677" i="2"/>
  <c r="L676" i="2"/>
  <c r="K676" i="2"/>
  <c r="K676" i="2" a="1"/>
  <c r="J676" i="2"/>
  <c r="I676" i="2"/>
  <c r="L675" i="2"/>
  <c r="K675" i="2"/>
  <c r="K675" i="2" a="1"/>
  <c r="J675" i="2"/>
  <c r="I675" i="2"/>
  <c r="L674" i="2"/>
  <c r="K674" i="2"/>
  <c r="K674" i="2" a="1"/>
  <c r="J674" i="2"/>
  <c r="I674" i="2"/>
  <c r="L673" i="2"/>
  <c r="K673" i="2"/>
  <c r="K673" i="2" a="1"/>
  <c r="J673" i="2"/>
  <c r="I673" i="2"/>
  <c r="L672" i="2"/>
  <c r="K672" i="2"/>
  <c r="K672" i="2" a="1"/>
  <c r="J672" i="2"/>
  <c r="I672" i="2"/>
  <c r="L671" i="2"/>
  <c r="K671" i="2"/>
  <c r="K671" i="2" a="1"/>
  <c r="J671" i="2"/>
  <c r="I671" i="2"/>
  <c r="L670" i="2"/>
  <c r="K670" i="2"/>
  <c r="K670" i="2" a="1"/>
  <c r="J670" i="2"/>
  <c r="I670" i="2"/>
  <c r="L669" i="2"/>
  <c r="K669" i="2"/>
  <c r="K669" i="2" a="1"/>
  <c r="J669" i="2"/>
  <c r="I669" i="2"/>
  <c r="L668" i="2"/>
  <c r="K668" i="2"/>
  <c r="K668" i="2" a="1"/>
  <c r="J668" i="2"/>
  <c r="I668" i="2"/>
  <c r="L667" i="2"/>
  <c r="K667" i="2"/>
  <c r="K667" i="2" a="1"/>
  <c r="J667" i="2"/>
  <c r="I667" i="2"/>
  <c r="L666" i="2"/>
  <c r="K666" i="2"/>
  <c r="K666" i="2" a="1"/>
  <c r="J666" i="2"/>
  <c r="I666" i="2"/>
  <c r="L665" i="2"/>
  <c r="K665" i="2"/>
  <c r="K665" i="2" a="1"/>
  <c r="J665" i="2"/>
  <c r="I665" i="2"/>
  <c r="L664" i="2"/>
  <c r="K664" i="2"/>
  <c r="K664" i="2" a="1"/>
  <c r="J664" i="2"/>
  <c r="I664" i="2"/>
  <c r="L663" i="2"/>
  <c r="K663" i="2"/>
  <c r="K663" i="2" a="1"/>
  <c r="J663" i="2"/>
  <c r="I663" i="2"/>
  <c r="L662" i="2"/>
  <c r="K662" i="2"/>
  <c r="K662" i="2" a="1"/>
  <c r="J662" i="2"/>
  <c r="I662" i="2"/>
  <c r="L661" i="2"/>
  <c r="K661" i="2"/>
  <c r="K661" i="2" a="1"/>
  <c r="J661" i="2"/>
  <c r="I661" i="2"/>
  <c r="L660" i="2"/>
  <c r="K660" i="2"/>
  <c r="K660" i="2" a="1"/>
  <c r="J660" i="2"/>
  <c r="I660" i="2"/>
  <c r="L659" i="2"/>
  <c r="K659" i="2"/>
  <c r="K659" i="2" a="1"/>
  <c r="J659" i="2"/>
  <c r="I659" i="2"/>
  <c r="L658" i="2"/>
  <c r="K658" i="2"/>
  <c r="K658" i="2" a="1"/>
  <c r="J658" i="2"/>
  <c r="I658" i="2"/>
  <c r="L657" i="2"/>
  <c r="K657" i="2"/>
  <c r="K657" i="2" a="1"/>
  <c r="J657" i="2"/>
  <c r="I657" i="2"/>
  <c r="L656" i="2"/>
  <c r="K656" i="2"/>
  <c r="K656" i="2" a="1"/>
  <c r="J656" i="2"/>
  <c r="I656" i="2"/>
  <c r="L655" i="2"/>
  <c r="K655" i="2"/>
  <c r="K655" i="2" a="1"/>
  <c r="J655" i="2"/>
  <c r="I655" i="2"/>
  <c r="L654" i="2"/>
  <c r="K654" i="2"/>
  <c r="K654" i="2" a="1"/>
  <c r="J654" i="2"/>
  <c r="I654" i="2"/>
  <c r="L653" i="2"/>
  <c r="K653" i="2"/>
  <c r="K653" i="2" a="1"/>
  <c r="J653" i="2"/>
  <c r="I653" i="2"/>
  <c r="L652" i="2"/>
  <c r="K652" i="2"/>
  <c r="K652" i="2" a="1"/>
  <c r="J652" i="2"/>
  <c r="I652" i="2"/>
  <c r="L651" i="2"/>
  <c r="K651" i="2"/>
  <c r="K651" i="2" a="1"/>
  <c r="J651" i="2"/>
  <c r="I651" i="2"/>
  <c r="L650" i="2"/>
  <c r="K650" i="2"/>
  <c r="K650" i="2" a="1"/>
  <c r="J650" i="2"/>
  <c r="I650" i="2"/>
  <c r="L649" i="2"/>
  <c r="K649" i="2"/>
  <c r="K649" i="2" a="1"/>
  <c r="J649" i="2"/>
  <c r="I649" i="2"/>
  <c r="L648" i="2"/>
  <c r="K648" i="2"/>
  <c r="K648" i="2" a="1"/>
  <c r="J648" i="2"/>
  <c r="I648" i="2"/>
  <c r="L647" i="2"/>
  <c r="K647" i="2"/>
  <c r="K647" i="2" a="1"/>
  <c r="J647" i="2"/>
  <c r="I647" i="2"/>
  <c r="L646" i="2"/>
  <c r="K646" i="2"/>
  <c r="K646" i="2" a="1"/>
  <c r="J646" i="2"/>
  <c r="I646" i="2"/>
  <c r="L645" i="2"/>
  <c r="K645" i="2"/>
  <c r="K645" i="2" a="1"/>
  <c r="J645" i="2"/>
  <c r="I645" i="2"/>
  <c r="L644" i="2"/>
  <c r="K644" i="2"/>
  <c r="K644" i="2" a="1"/>
  <c r="J644" i="2"/>
  <c r="I644" i="2"/>
  <c r="L643" i="2"/>
  <c r="K643" i="2"/>
  <c r="K643" i="2" a="1"/>
  <c r="J643" i="2"/>
  <c r="I643" i="2"/>
  <c r="L642" i="2"/>
  <c r="K642" i="2"/>
  <c r="K642" i="2" a="1"/>
  <c r="J642" i="2"/>
  <c r="I642" i="2"/>
  <c r="L641" i="2"/>
  <c r="K641" i="2"/>
  <c r="K641" i="2" a="1"/>
  <c r="J641" i="2"/>
  <c r="I641" i="2"/>
  <c r="L640" i="2"/>
  <c r="K640" i="2"/>
  <c r="K640" i="2" a="1"/>
  <c r="J640" i="2"/>
  <c r="I640" i="2"/>
  <c r="L639" i="2"/>
  <c r="K639" i="2"/>
  <c r="K639" i="2" a="1"/>
  <c r="J639" i="2"/>
  <c r="I639" i="2"/>
  <c r="L638" i="2"/>
  <c r="K638" i="2"/>
  <c r="K638" i="2" a="1"/>
  <c r="J638" i="2"/>
  <c r="I638" i="2"/>
  <c r="L637" i="2"/>
  <c r="K637" i="2"/>
  <c r="K637" i="2" a="1"/>
  <c r="J637" i="2"/>
  <c r="I637" i="2"/>
  <c r="L636" i="2"/>
  <c r="K636" i="2"/>
  <c r="K636" i="2" a="1"/>
  <c r="J636" i="2"/>
  <c r="I636" i="2"/>
  <c r="L635" i="2"/>
  <c r="K635" i="2"/>
  <c r="K635" i="2" a="1"/>
  <c r="J635" i="2"/>
  <c r="I635" i="2"/>
  <c r="L634" i="2"/>
  <c r="K634" i="2"/>
  <c r="K634" i="2" a="1"/>
  <c r="J634" i="2"/>
  <c r="I634" i="2"/>
  <c r="L633" i="2"/>
  <c r="K633" i="2"/>
  <c r="K633" i="2" a="1"/>
  <c r="J633" i="2"/>
  <c r="I633" i="2"/>
  <c r="L632" i="2"/>
  <c r="K632" i="2"/>
  <c r="K632" i="2" a="1"/>
  <c r="J632" i="2"/>
  <c r="I632" i="2"/>
  <c r="L631" i="2"/>
  <c r="K631" i="2"/>
  <c r="K631" i="2" a="1"/>
  <c r="J631" i="2"/>
  <c r="I631" i="2"/>
  <c r="L630" i="2"/>
  <c r="K630" i="2"/>
  <c r="K630" i="2" a="1"/>
  <c r="J630" i="2"/>
  <c r="I630" i="2"/>
  <c r="L629" i="2"/>
  <c r="K629" i="2"/>
  <c r="K629" i="2" a="1"/>
  <c r="J629" i="2"/>
  <c r="I629" i="2"/>
  <c r="L628" i="2"/>
  <c r="K628" i="2"/>
  <c r="K628" i="2" a="1"/>
  <c r="J628" i="2"/>
  <c r="I628" i="2"/>
  <c r="L627" i="2"/>
  <c r="K627" i="2"/>
  <c r="K627" i="2" a="1"/>
  <c r="J627" i="2"/>
  <c r="I627" i="2"/>
  <c r="L626" i="2"/>
  <c r="K626" i="2"/>
  <c r="K626" i="2" a="1"/>
  <c r="J626" i="2"/>
  <c r="I626" i="2"/>
  <c r="L625" i="2"/>
  <c r="K625" i="2"/>
  <c r="K625" i="2" a="1"/>
  <c r="J625" i="2"/>
  <c r="I625" i="2"/>
  <c r="L624" i="2"/>
  <c r="K624" i="2"/>
  <c r="K624" i="2" a="1"/>
  <c r="J624" i="2"/>
  <c r="I624" i="2"/>
  <c r="L623" i="2"/>
  <c r="K623" i="2"/>
  <c r="K623" i="2" a="1"/>
  <c r="J623" i="2"/>
  <c r="I623" i="2"/>
  <c r="L622" i="2"/>
  <c r="K622" i="2"/>
  <c r="K622" i="2" a="1"/>
  <c r="J622" i="2"/>
  <c r="I622" i="2"/>
  <c r="L621" i="2"/>
  <c r="K621" i="2"/>
  <c r="K621" i="2" a="1"/>
  <c r="J621" i="2"/>
  <c r="I621" i="2"/>
  <c r="L620" i="2"/>
  <c r="K620" i="2"/>
  <c r="K620" i="2" a="1"/>
  <c r="J620" i="2"/>
  <c r="I620" i="2"/>
  <c r="L619" i="2"/>
  <c r="K619" i="2"/>
  <c r="K619" i="2" a="1"/>
  <c r="J619" i="2"/>
  <c r="I619" i="2"/>
  <c r="L618" i="2"/>
  <c r="K618" i="2"/>
  <c r="K618" i="2" a="1"/>
  <c r="J618" i="2"/>
  <c r="I618" i="2"/>
  <c r="L617" i="2"/>
  <c r="K617" i="2"/>
  <c r="K617" i="2" a="1"/>
  <c r="J617" i="2"/>
  <c r="I617" i="2"/>
  <c r="L616" i="2"/>
  <c r="K616" i="2"/>
  <c r="K616" i="2" a="1"/>
  <c r="J616" i="2"/>
  <c r="I616" i="2"/>
  <c r="L615" i="2"/>
  <c r="K615" i="2"/>
  <c r="K615" i="2" a="1"/>
  <c r="J615" i="2"/>
  <c r="I615" i="2"/>
  <c r="L614" i="2"/>
  <c r="K614" i="2"/>
  <c r="K614" i="2" a="1"/>
  <c r="J614" i="2"/>
  <c r="I614" i="2"/>
  <c r="L613" i="2"/>
  <c r="K613" i="2"/>
  <c r="K613" i="2" a="1"/>
  <c r="J613" i="2"/>
  <c r="I613" i="2"/>
  <c r="L612" i="2"/>
  <c r="K612" i="2"/>
  <c r="K612" i="2" a="1"/>
  <c r="J612" i="2"/>
  <c r="I612" i="2"/>
  <c r="L611" i="2"/>
  <c r="K611" i="2"/>
  <c r="K611" i="2" a="1"/>
  <c r="J611" i="2"/>
  <c r="I611" i="2"/>
  <c r="L610" i="2"/>
  <c r="K610" i="2"/>
  <c r="K610" i="2" a="1"/>
  <c r="J610" i="2"/>
  <c r="I610" i="2"/>
  <c r="L609" i="2"/>
  <c r="K609" i="2"/>
  <c r="K609" i="2" a="1"/>
  <c r="J609" i="2"/>
  <c r="I609" i="2"/>
  <c r="L608" i="2"/>
  <c r="K608" i="2"/>
  <c r="K608" i="2" a="1"/>
  <c r="J608" i="2"/>
  <c r="I608" i="2"/>
  <c r="L607" i="2"/>
  <c r="K607" i="2"/>
  <c r="K607" i="2" a="1"/>
  <c r="J607" i="2"/>
  <c r="I607" i="2"/>
  <c r="L606" i="2"/>
  <c r="K606" i="2"/>
  <c r="K606" i="2" a="1"/>
  <c r="J606" i="2"/>
  <c r="I606" i="2"/>
  <c r="L605" i="2"/>
  <c r="K605" i="2"/>
  <c r="K605" i="2" a="1"/>
  <c r="J605" i="2"/>
  <c r="I605" i="2"/>
  <c r="L604" i="2"/>
  <c r="K604" i="2"/>
  <c r="K604" i="2" a="1"/>
  <c r="J604" i="2"/>
  <c r="I604" i="2"/>
  <c r="L603" i="2"/>
  <c r="K603" i="2"/>
  <c r="K603" i="2" a="1"/>
  <c r="J603" i="2"/>
  <c r="I603" i="2"/>
  <c r="L602" i="2"/>
  <c r="K602" i="2"/>
  <c r="K602" i="2" a="1"/>
  <c r="J602" i="2"/>
  <c r="I602" i="2"/>
  <c r="L601" i="2"/>
  <c r="K601" i="2"/>
  <c r="K601" i="2" a="1"/>
  <c r="J601" i="2"/>
  <c r="I601" i="2"/>
  <c r="L600" i="2"/>
  <c r="K600" i="2"/>
  <c r="K600" i="2" a="1"/>
  <c r="J600" i="2"/>
  <c r="I600" i="2"/>
  <c r="L599" i="2"/>
  <c r="K599" i="2"/>
  <c r="K599" i="2" a="1"/>
  <c r="J599" i="2"/>
  <c r="I599" i="2"/>
  <c r="L598" i="2"/>
  <c r="K598" i="2"/>
  <c r="K598" i="2" a="1"/>
  <c r="J598" i="2"/>
  <c r="I598" i="2"/>
  <c r="L597" i="2"/>
  <c r="K597" i="2"/>
  <c r="K597" i="2" a="1"/>
  <c r="J597" i="2"/>
  <c r="I597" i="2"/>
  <c r="L596" i="2"/>
  <c r="K596" i="2"/>
  <c r="K596" i="2" a="1"/>
  <c r="J596" i="2"/>
  <c r="I596" i="2"/>
  <c r="L595" i="2"/>
  <c r="K595" i="2"/>
  <c r="K595" i="2" a="1"/>
  <c r="J595" i="2"/>
  <c r="I595" i="2"/>
  <c r="L594" i="2"/>
  <c r="K594" i="2"/>
  <c r="K594" i="2" a="1"/>
  <c r="J594" i="2"/>
  <c r="I594" i="2"/>
  <c r="L593" i="2"/>
  <c r="K593" i="2"/>
  <c r="K593" i="2" a="1"/>
  <c r="J593" i="2"/>
  <c r="I593" i="2"/>
  <c r="L592" i="2"/>
  <c r="K592" i="2"/>
  <c r="K592" i="2" a="1"/>
  <c r="J592" i="2"/>
  <c r="I592" i="2"/>
  <c r="L591" i="2"/>
  <c r="K591" i="2"/>
  <c r="K591" i="2" a="1"/>
  <c r="J591" i="2"/>
  <c r="I591" i="2"/>
  <c r="L590" i="2"/>
  <c r="K590" i="2"/>
  <c r="K590" i="2" a="1"/>
  <c r="J590" i="2"/>
  <c r="I590" i="2"/>
  <c r="L589" i="2"/>
  <c r="K589" i="2"/>
  <c r="K589" i="2" a="1"/>
  <c r="J589" i="2"/>
  <c r="I589" i="2"/>
  <c r="L588" i="2"/>
  <c r="K588" i="2"/>
  <c r="K588" i="2" a="1"/>
  <c r="J588" i="2"/>
  <c r="I588" i="2"/>
  <c r="L587" i="2"/>
  <c r="K587" i="2"/>
  <c r="K587" i="2" a="1"/>
  <c r="J587" i="2"/>
  <c r="I587" i="2"/>
  <c r="L586" i="2"/>
  <c r="K586" i="2"/>
  <c r="K586" i="2" a="1"/>
  <c r="J586" i="2"/>
  <c r="I586" i="2"/>
  <c r="L585" i="2"/>
  <c r="K585" i="2"/>
  <c r="K585" i="2" a="1"/>
  <c r="J585" i="2"/>
  <c r="I585" i="2"/>
  <c r="L584" i="2"/>
  <c r="K584" i="2"/>
  <c r="K584" i="2" a="1"/>
  <c r="J584" i="2"/>
  <c r="I584" i="2"/>
  <c r="L583" i="2"/>
  <c r="K583" i="2"/>
  <c r="K583" i="2" a="1"/>
  <c r="J583" i="2"/>
  <c r="I583" i="2"/>
  <c r="L582" i="2"/>
  <c r="K582" i="2"/>
  <c r="K582" i="2" a="1"/>
  <c r="J582" i="2"/>
  <c r="I582" i="2"/>
  <c r="L581" i="2"/>
  <c r="K581" i="2"/>
  <c r="K581" i="2" a="1"/>
  <c r="J581" i="2"/>
  <c r="I581" i="2"/>
  <c r="L580" i="2"/>
  <c r="K580" i="2"/>
  <c r="K580" i="2" a="1"/>
  <c r="J580" i="2"/>
  <c r="I580" i="2"/>
  <c r="L579" i="2"/>
  <c r="K579" i="2"/>
  <c r="K579" i="2" a="1"/>
  <c r="J579" i="2"/>
  <c r="I579" i="2"/>
  <c r="L578" i="2"/>
  <c r="K578" i="2"/>
  <c r="K578" i="2" a="1"/>
  <c r="J578" i="2"/>
  <c r="I578" i="2"/>
  <c r="L577" i="2"/>
  <c r="K577" i="2"/>
  <c r="K577" i="2" a="1"/>
  <c r="J577" i="2"/>
  <c r="I577" i="2"/>
  <c r="L576" i="2"/>
  <c r="K576" i="2"/>
  <c r="K576" i="2" a="1"/>
  <c r="J576" i="2"/>
  <c r="I576" i="2"/>
  <c r="L575" i="2"/>
  <c r="K575" i="2"/>
  <c r="K575" i="2" a="1"/>
  <c r="J575" i="2"/>
  <c r="I575" i="2"/>
  <c r="L574" i="2"/>
  <c r="K574" i="2"/>
  <c r="K574" i="2" a="1"/>
  <c r="J574" i="2"/>
  <c r="I574" i="2"/>
  <c r="L573" i="2"/>
  <c r="K573" i="2"/>
  <c r="K573" i="2" a="1"/>
  <c r="J573" i="2"/>
  <c r="I573" i="2"/>
  <c r="L572" i="2"/>
  <c r="K572" i="2"/>
  <c r="K572" i="2" a="1"/>
  <c r="J572" i="2"/>
  <c r="I572" i="2"/>
  <c r="L571" i="2"/>
  <c r="K571" i="2"/>
  <c r="K571" i="2" a="1"/>
  <c r="J571" i="2"/>
  <c r="I571" i="2"/>
  <c r="L570" i="2"/>
  <c r="K570" i="2"/>
  <c r="K570" i="2" a="1"/>
  <c r="J570" i="2"/>
  <c r="I570" i="2"/>
  <c r="L569" i="2"/>
  <c r="K569" i="2"/>
  <c r="K569" i="2" a="1"/>
  <c r="J569" i="2"/>
  <c r="I569" i="2"/>
  <c r="L568" i="2"/>
  <c r="K568" i="2"/>
  <c r="K568" i="2" a="1"/>
  <c r="J568" i="2"/>
  <c r="I568" i="2"/>
  <c r="L567" i="2"/>
  <c r="K567" i="2"/>
  <c r="K567" i="2" a="1"/>
  <c r="J567" i="2"/>
  <c r="I567" i="2"/>
  <c r="L566" i="2"/>
  <c r="K566" i="2"/>
  <c r="K566" i="2" a="1"/>
  <c r="J566" i="2"/>
  <c r="I566" i="2"/>
  <c r="L565" i="2"/>
  <c r="K565" i="2"/>
  <c r="K565" i="2" a="1"/>
  <c r="J565" i="2"/>
  <c r="I565" i="2"/>
  <c r="L564" i="2"/>
  <c r="K564" i="2"/>
  <c r="K564" i="2" a="1"/>
  <c r="J564" i="2"/>
  <c r="I564" i="2"/>
  <c r="L563" i="2"/>
  <c r="K563" i="2"/>
  <c r="K563" i="2" a="1"/>
  <c r="J563" i="2"/>
  <c r="I563" i="2"/>
  <c r="L562" i="2"/>
  <c r="K562" i="2"/>
  <c r="K562" i="2" a="1"/>
  <c r="J562" i="2"/>
  <c r="I562" i="2"/>
  <c r="L561" i="2"/>
  <c r="K561" i="2"/>
  <c r="K561" i="2" a="1"/>
  <c r="J561" i="2"/>
  <c r="I561" i="2"/>
  <c r="L560" i="2"/>
  <c r="K560" i="2"/>
  <c r="K560" i="2" a="1"/>
  <c r="J560" i="2"/>
  <c r="I560" i="2"/>
  <c r="L559" i="2"/>
  <c r="K559" i="2"/>
  <c r="K559" i="2" a="1"/>
  <c r="J559" i="2"/>
  <c r="I559" i="2"/>
  <c r="L558" i="2"/>
  <c r="K558" i="2"/>
  <c r="K558" i="2" a="1"/>
  <c r="J558" i="2"/>
  <c r="I558" i="2"/>
  <c r="L557" i="2"/>
  <c r="K557" i="2"/>
  <c r="K557" i="2" a="1"/>
  <c r="J557" i="2"/>
  <c r="I557" i="2"/>
  <c r="L556" i="2"/>
  <c r="K556" i="2"/>
  <c r="K556" i="2" a="1"/>
  <c r="J556" i="2"/>
  <c r="I556" i="2"/>
  <c r="L555" i="2"/>
  <c r="K555" i="2"/>
  <c r="K555" i="2" a="1"/>
  <c r="J555" i="2"/>
  <c r="I555" i="2"/>
  <c r="L554" i="2"/>
  <c r="K554" i="2"/>
  <c r="K554" i="2" a="1"/>
  <c r="J554" i="2"/>
  <c r="I554" i="2"/>
  <c r="L553" i="2"/>
  <c r="K553" i="2"/>
  <c r="K553" i="2" a="1"/>
  <c r="J553" i="2"/>
  <c r="I553" i="2"/>
  <c r="L552" i="2"/>
  <c r="K552" i="2"/>
  <c r="K552" i="2" a="1"/>
  <c r="J552" i="2"/>
  <c r="I552" i="2"/>
  <c r="L551" i="2"/>
  <c r="K551" i="2"/>
  <c r="K551" i="2" a="1"/>
  <c r="J551" i="2"/>
  <c r="I551" i="2"/>
  <c r="L550" i="2"/>
  <c r="K550" i="2"/>
  <c r="K550" i="2" a="1"/>
  <c r="J550" i="2"/>
  <c r="I550" i="2"/>
  <c r="L549" i="2"/>
  <c r="K549" i="2"/>
  <c r="K549" i="2" a="1"/>
  <c r="J549" i="2"/>
  <c r="I549" i="2"/>
  <c r="L548" i="2"/>
  <c r="K548" i="2"/>
  <c r="K548" i="2" a="1"/>
  <c r="J548" i="2"/>
  <c r="I548" i="2"/>
  <c r="L547" i="2"/>
  <c r="K547" i="2"/>
  <c r="K547" i="2" a="1"/>
  <c r="J547" i="2"/>
  <c r="I547" i="2"/>
  <c r="L546" i="2"/>
  <c r="K546" i="2"/>
  <c r="K546" i="2" a="1"/>
  <c r="J546" i="2"/>
  <c r="I546" i="2"/>
  <c r="L545" i="2"/>
  <c r="K545" i="2"/>
  <c r="K545" i="2" a="1"/>
  <c r="J545" i="2"/>
  <c r="I545" i="2"/>
  <c r="L544" i="2"/>
  <c r="K544" i="2"/>
  <c r="K544" i="2" a="1"/>
  <c r="J544" i="2"/>
  <c r="I544" i="2"/>
  <c r="L543" i="2"/>
  <c r="K543" i="2"/>
  <c r="K543" i="2" a="1"/>
  <c r="J543" i="2"/>
  <c r="I543" i="2"/>
  <c r="L542" i="2"/>
  <c r="K542" i="2"/>
  <c r="K542" i="2" a="1"/>
  <c r="J542" i="2"/>
  <c r="I542" i="2"/>
  <c r="L541" i="2"/>
  <c r="K541" i="2"/>
  <c r="K541" i="2" a="1"/>
  <c r="J541" i="2"/>
  <c r="I541" i="2"/>
  <c r="L540" i="2"/>
  <c r="K540" i="2"/>
  <c r="K540" i="2" a="1"/>
  <c r="J540" i="2"/>
  <c r="I540" i="2"/>
  <c r="L539" i="2"/>
  <c r="K539" i="2"/>
  <c r="K539" i="2" a="1"/>
  <c r="J539" i="2"/>
  <c r="I539" i="2"/>
  <c r="L538" i="2"/>
  <c r="K538" i="2"/>
  <c r="K538" i="2" a="1"/>
  <c r="J538" i="2"/>
  <c r="I538" i="2"/>
  <c r="L537" i="2"/>
  <c r="K537" i="2"/>
  <c r="K537" i="2" a="1"/>
  <c r="J537" i="2"/>
  <c r="I537" i="2"/>
  <c r="L536" i="2"/>
  <c r="K536" i="2"/>
  <c r="K536" i="2" a="1"/>
  <c r="J536" i="2"/>
  <c r="I536" i="2"/>
  <c r="L535" i="2"/>
  <c r="K535" i="2"/>
  <c r="K535" i="2" a="1"/>
  <c r="J535" i="2"/>
  <c r="I535" i="2"/>
  <c r="L534" i="2"/>
  <c r="K534" i="2"/>
  <c r="K534" i="2" a="1"/>
  <c r="J534" i="2"/>
  <c r="I534" i="2"/>
  <c r="L533" i="2"/>
  <c r="K533" i="2"/>
  <c r="K533" i="2" a="1"/>
  <c r="J533" i="2"/>
  <c r="I533" i="2"/>
  <c r="L532" i="2"/>
  <c r="K532" i="2"/>
  <c r="K532" i="2" a="1"/>
  <c r="J532" i="2"/>
  <c r="I532" i="2"/>
  <c r="L531" i="2"/>
  <c r="K531" i="2"/>
  <c r="K531" i="2" a="1"/>
  <c r="J531" i="2"/>
  <c r="I531" i="2"/>
  <c r="L530" i="2"/>
  <c r="K530" i="2"/>
  <c r="K530" i="2" a="1"/>
  <c r="J530" i="2"/>
  <c r="I530" i="2"/>
  <c r="L529" i="2"/>
  <c r="K529" i="2"/>
  <c r="K529" i="2" a="1"/>
  <c r="J529" i="2"/>
  <c r="I529" i="2"/>
  <c r="L528" i="2"/>
  <c r="K528" i="2"/>
  <c r="K528" i="2" a="1"/>
  <c r="J528" i="2"/>
  <c r="I528" i="2"/>
  <c r="L527" i="2"/>
  <c r="K527" i="2"/>
  <c r="K527" i="2" a="1"/>
  <c r="J527" i="2"/>
  <c r="I527" i="2"/>
  <c r="L526" i="2"/>
  <c r="K526" i="2"/>
  <c r="K526" i="2" a="1"/>
  <c r="J526" i="2"/>
  <c r="I526" i="2"/>
  <c r="L525" i="2"/>
  <c r="K525" i="2"/>
  <c r="K525" i="2" a="1"/>
  <c r="J525" i="2"/>
  <c r="I525" i="2"/>
  <c r="L524" i="2"/>
  <c r="K524" i="2"/>
  <c r="K524" i="2" a="1"/>
  <c r="J524" i="2"/>
  <c r="I524" i="2"/>
  <c r="L523" i="2"/>
  <c r="K523" i="2"/>
  <c r="K523" i="2" a="1"/>
  <c r="J523" i="2"/>
  <c r="I523" i="2"/>
  <c r="L522" i="2"/>
  <c r="K522" i="2"/>
  <c r="K522" i="2" a="1"/>
  <c r="J522" i="2"/>
  <c r="I522" i="2"/>
  <c r="L521" i="2"/>
  <c r="K521" i="2"/>
  <c r="K521" i="2" a="1"/>
  <c r="J521" i="2"/>
  <c r="I521" i="2"/>
  <c r="L520" i="2"/>
  <c r="K520" i="2"/>
  <c r="K520" i="2" a="1"/>
  <c r="J520" i="2"/>
  <c r="I520" i="2"/>
  <c r="L519" i="2"/>
  <c r="K519" i="2"/>
  <c r="K519" i="2" a="1"/>
  <c r="J519" i="2"/>
  <c r="I519" i="2"/>
  <c r="L518" i="2"/>
  <c r="K518" i="2"/>
  <c r="K518" i="2" a="1"/>
  <c r="J518" i="2"/>
  <c r="I518" i="2"/>
  <c r="L517" i="2"/>
  <c r="K517" i="2"/>
  <c r="K517" i="2" a="1"/>
  <c r="J517" i="2"/>
  <c r="I517" i="2"/>
  <c r="L516" i="2"/>
  <c r="K516" i="2"/>
  <c r="K516" i="2" a="1"/>
  <c r="J516" i="2"/>
  <c r="I516" i="2"/>
  <c r="L515" i="2"/>
  <c r="K515" i="2"/>
  <c r="K515" i="2" a="1"/>
  <c r="J515" i="2"/>
  <c r="I515" i="2"/>
  <c r="L514" i="2"/>
  <c r="K514" i="2"/>
  <c r="K514" i="2" a="1"/>
  <c r="J514" i="2"/>
  <c r="I514" i="2"/>
  <c r="L513" i="2"/>
  <c r="K513" i="2"/>
  <c r="K513" i="2" a="1"/>
  <c r="J513" i="2"/>
  <c r="I513" i="2"/>
  <c r="L512" i="2"/>
  <c r="K512" i="2"/>
  <c r="K512" i="2" a="1"/>
  <c r="J512" i="2"/>
  <c r="I512" i="2"/>
  <c r="L511" i="2"/>
  <c r="K511" i="2"/>
  <c r="K511" i="2" a="1"/>
  <c r="J511" i="2"/>
  <c r="I511" i="2"/>
  <c r="L510" i="2"/>
  <c r="K510" i="2"/>
  <c r="K510" i="2" a="1"/>
  <c r="J510" i="2"/>
  <c r="I510" i="2"/>
  <c r="L509" i="2"/>
  <c r="K509" i="2"/>
  <c r="K509" i="2" a="1"/>
  <c r="J509" i="2"/>
  <c r="I509" i="2"/>
  <c r="L508" i="2"/>
  <c r="K508" i="2"/>
  <c r="K508" i="2" a="1"/>
  <c r="J508" i="2"/>
  <c r="I508" i="2"/>
  <c r="L507" i="2"/>
  <c r="K507" i="2"/>
  <c r="K507" i="2" a="1"/>
  <c r="J507" i="2"/>
  <c r="I507" i="2"/>
  <c r="L506" i="2"/>
  <c r="K506" i="2"/>
  <c r="K506" i="2" a="1"/>
  <c r="J506" i="2"/>
  <c r="I506" i="2"/>
  <c r="L505" i="2"/>
  <c r="K505" i="2"/>
  <c r="K505" i="2" a="1"/>
  <c r="J505" i="2"/>
  <c r="I505" i="2"/>
  <c r="L504" i="2"/>
  <c r="K504" i="2"/>
  <c r="K504" i="2" a="1"/>
  <c r="J504" i="2"/>
  <c r="I504" i="2"/>
  <c r="L503" i="2"/>
  <c r="K503" i="2"/>
  <c r="K503" i="2" a="1"/>
  <c r="J503" i="2"/>
  <c r="I503" i="2"/>
  <c r="L502" i="2"/>
  <c r="K502" i="2"/>
  <c r="K502" i="2" a="1"/>
  <c r="J502" i="2"/>
  <c r="I502" i="2"/>
  <c r="L501" i="2"/>
  <c r="K501" i="2"/>
  <c r="K501" i="2" a="1"/>
  <c r="J501" i="2"/>
  <c r="I501" i="2"/>
  <c r="L500" i="2"/>
  <c r="K500" i="2"/>
  <c r="K500" i="2" a="1"/>
  <c r="J500" i="2"/>
  <c r="I500" i="2"/>
  <c r="L499" i="2"/>
  <c r="K499" i="2"/>
  <c r="K499" i="2" a="1"/>
  <c r="J499" i="2"/>
  <c r="I499" i="2"/>
  <c r="L498" i="2"/>
  <c r="K498" i="2"/>
  <c r="K498" i="2" a="1"/>
  <c r="J498" i="2"/>
  <c r="I498" i="2"/>
  <c r="L497" i="2"/>
  <c r="K497" i="2"/>
  <c r="K497" i="2" a="1"/>
  <c r="J497" i="2"/>
  <c r="I497" i="2"/>
  <c r="L496" i="2"/>
  <c r="K496" i="2"/>
  <c r="K496" i="2" a="1"/>
  <c r="J496" i="2"/>
  <c r="I496" i="2"/>
  <c r="L495" i="2"/>
  <c r="K495" i="2"/>
  <c r="K495" i="2" a="1"/>
  <c r="J495" i="2"/>
  <c r="I495" i="2"/>
  <c r="L494" i="2"/>
  <c r="K494" i="2"/>
  <c r="K494" i="2" a="1"/>
  <c r="J494" i="2"/>
  <c r="I494" i="2"/>
  <c r="L493" i="2"/>
  <c r="K493" i="2"/>
  <c r="K493" i="2" a="1"/>
  <c r="J493" i="2"/>
  <c r="I493" i="2"/>
  <c r="L492" i="2"/>
  <c r="K492" i="2"/>
  <c r="K492" i="2" a="1"/>
  <c r="J492" i="2"/>
  <c r="I492" i="2"/>
  <c r="L491" i="2"/>
  <c r="K491" i="2"/>
  <c r="K491" i="2" a="1"/>
  <c r="J491" i="2"/>
  <c r="I491" i="2"/>
  <c r="L490" i="2"/>
  <c r="K490" i="2"/>
  <c r="K490" i="2" a="1"/>
  <c r="J490" i="2"/>
  <c r="I490" i="2"/>
  <c r="L489" i="2"/>
  <c r="K489" i="2"/>
  <c r="K489" i="2" a="1"/>
  <c r="J489" i="2"/>
  <c r="I489" i="2"/>
  <c r="L488" i="2"/>
  <c r="K488" i="2"/>
  <c r="K488" i="2" a="1"/>
  <c r="J488" i="2"/>
  <c r="I488" i="2"/>
  <c r="L487" i="2"/>
  <c r="K487" i="2"/>
  <c r="K487" i="2" a="1"/>
  <c r="J487" i="2"/>
  <c r="I487" i="2"/>
  <c r="L486" i="2"/>
  <c r="K486" i="2"/>
  <c r="K486" i="2" a="1"/>
  <c r="J486" i="2"/>
  <c r="I486" i="2"/>
  <c r="L485" i="2"/>
  <c r="K485" i="2"/>
  <c r="K485" i="2" a="1"/>
  <c r="J485" i="2"/>
  <c r="I485" i="2"/>
  <c r="L484" i="2"/>
  <c r="K484" i="2"/>
  <c r="K484" i="2" a="1"/>
  <c r="J484" i="2"/>
  <c r="I484" i="2"/>
  <c r="L483" i="2"/>
  <c r="K483" i="2"/>
  <c r="K483" i="2" a="1"/>
  <c r="J483" i="2"/>
  <c r="I483" i="2"/>
  <c r="L482" i="2"/>
  <c r="K482" i="2"/>
  <c r="K482" i="2" a="1"/>
  <c r="J482" i="2"/>
  <c r="I482" i="2"/>
  <c r="L481" i="2"/>
  <c r="K481" i="2"/>
  <c r="K481" i="2" a="1"/>
  <c r="J481" i="2"/>
  <c r="I481" i="2"/>
  <c r="L480" i="2"/>
  <c r="K480" i="2"/>
  <c r="K480" i="2" a="1"/>
  <c r="J480" i="2"/>
  <c r="I480" i="2"/>
  <c r="L479" i="2"/>
  <c r="K479" i="2"/>
  <c r="K479" i="2" a="1"/>
  <c r="J479" i="2"/>
  <c r="I479" i="2"/>
  <c r="L478" i="2"/>
  <c r="K478" i="2"/>
  <c r="K478" i="2" a="1"/>
  <c r="J478" i="2"/>
  <c r="I478" i="2"/>
  <c r="L477" i="2"/>
  <c r="K477" i="2"/>
  <c r="K477" i="2" a="1"/>
  <c r="J477" i="2"/>
  <c r="I477" i="2"/>
  <c r="L476" i="2"/>
  <c r="K476" i="2"/>
  <c r="K476" i="2" a="1"/>
  <c r="J476" i="2"/>
  <c r="I476" i="2"/>
  <c r="L475" i="2"/>
  <c r="K475" i="2"/>
  <c r="K475" i="2" a="1"/>
  <c r="J475" i="2"/>
  <c r="I475" i="2"/>
  <c r="L474" i="2"/>
  <c r="K474" i="2"/>
  <c r="K474" i="2" a="1"/>
  <c r="J474" i="2"/>
  <c r="I474" i="2"/>
  <c r="L473" i="2"/>
  <c r="K473" i="2"/>
  <c r="K473" i="2" a="1"/>
  <c r="J473" i="2"/>
  <c r="I473" i="2"/>
  <c r="L472" i="2"/>
  <c r="K472" i="2"/>
  <c r="K472" i="2" a="1"/>
  <c r="J472" i="2"/>
  <c r="I472" i="2"/>
  <c r="L471" i="2"/>
  <c r="K471" i="2"/>
  <c r="K471" i="2" a="1"/>
  <c r="J471" i="2"/>
  <c r="I471" i="2"/>
  <c r="L470" i="2"/>
  <c r="K470" i="2"/>
  <c r="K470" i="2" a="1"/>
  <c r="J470" i="2"/>
  <c r="I470" i="2"/>
  <c r="L469" i="2"/>
  <c r="K469" i="2"/>
  <c r="K469" i="2" a="1"/>
  <c r="J469" i="2"/>
  <c r="I469" i="2"/>
  <c r="L468" i="2"/>
  <c r="K468" i="2"/>
  <c r="K468" i="2" a="1"/>
  <c r="J468" i="2"/>
  <c r="I468" i="2"/>
  <c r="L467" i="2"/>
  <c r="K467" i="2"/>
  <c r="K467" i="2" a="1"/>
  <c r="J467" i="2"/>
  <c r="I467" i="2"/>
  <c r="L466" i="2"/>
  <c r="K466" i="2"/>
  <c r="K466" i="2" a="1"/>
  <c r="J466" i="2"/>
  <c r="I466" i="2"/>
  <c r="L465" i="2"/>
  <c r="K465" i="2"/>
  <c r="K465" i="2" a="1"/>
  <c r="J465" i="2"/>
  <c r="I465" i="2"/>
  <c r="L464" i="2"/>
  <c r="K464" i="2"/>
  <c r="K464" i="2" a="1"/>
  <c r="J464" i="2"/>
  <c r="I464" i="2"/>
  <c r="L463" i="2"/>
  <c r="K463" i="2"/>
  <c r="K463" i="2" a="1"/>
  <c r="J463" i="2"/>
  <c r="I463" i="2"/>
  <c r="L462" i="2"/>
  <c r="K462" i="2"/>
  <c r="K462" i="2" a="1"/>
  <c r="J462" i="2"/>
  <c r="I462" i="2"/>
  <c r="L461" i="2"/>
  <c r="K461" i="2"/>
  <c r="K461" i="2" a="1"/>
  <c r="J461" i="2"/>
  <c r="I461" i="2"/>
  <c r="L460" i="2"/>
  <c r="K460" i="2"/>
  <c r="K460" i="2" a="1"/>
  <c r="J460" i="2"/>
  <c r="I460" i="2"/>
  <c r="L459" i="2"/>
  <c r="K459" i="2"/>
  <c r="K459" i="2" a="1"/>
  <c r="J459" i="2"/>
  <c r="I459" i="2"/>
  <c r="L458" i="2"/>
  <c r="K458" i="2"/>
  <c r="K458" i="2" a="1"/>
  <c r="J458" i="2"/>
  <c r="I458" i="2"/>
  <c r="L457" i="2"/>
  <c r="K457" i="2"/>
  <c r="K457" i="2" a="1"/>
  <c r="J457" i="2"/>
  <c r="I457" i="2"/>
  <c r="L456" i="2"/>
  <c r="K456" i="2"/>
  <c r="K456" i="2" a="1"/>
  <c r="J456" i="2"/>
  <c r="I456" i="2"/>
  <c r="L455" i="2"/>
  <c r="K455" i="2"/>
  <c r="K455" i="2" a="1"/>
  <c r="J455" i="2"/>
  <c r="I455" i="2"/>
  <c r="L454" i="2"/>
  <c r="K454" i="2"/>
  <c r="K454" i="2" a="1"/>
  <c r="J454" i="2"/>
  <c r="I454" i="2"/>
  <c r="L453" i="2"/>
  <c r="K453" i="2"/>
  <c r="K453" i="2" a="1"/>
  <c r="J453" i="2"/>
  <c r="I453" i="2"/>
  <c r="L452" i="2"/>
  <c r="K452" i="2"/>
  <c r="K452" i="2" a="1"/>
  <c r="J452" i="2"/>
  <c r="I452" i="2"/>
  <c r="L451" i="2"/>
  <c r="K451" i="2"/>
  <c r="K451" i="2" a="1"/>
  <c r="J451" i="2"/>
  <c r="I451" i="2"/>
  <c r="L450" i="2"/>
  <c r="K450" i="2"/>
  <c r="K450" i="2" a="1"/>
  <c r="J450" i="2"/>
  <c r="I450" i="2"/>
  <c r="L449" i="2"/>
  <c r="K449" i="2"/>
  <c r="K449" i="2" a="1"/>
  <c r="J449" i="2"/>
  <c r="I449" i="2"/>
  <c r="L448" i="2"/>
  <c r="K448" i="2"/>
  <c r="K448" i="2" a="1"/>
  <c r="J448" i="2"/>
  <c r="I448" i="2"/>
  <c r="L447" i="2"/>
  <c r="K447" i="2"/>
  <c r="K447" i="2" a="1"/>
  <c r="J447" i="2"/>
  <c r="I447" i="2"/>
  <c r="L446" i="2"/>
  <c r="K446" i="2"/>
  <c r="K446" i="2" a="1"/>
  <c r="J446" i="2"/>
  <c r="I446" i="2"/>
  <c r="L445" i="2"/>
  <c r="K445" i="2"/>
  <c r="K445" i="2" a="1"/>
  <c r="J445" i="2"/>
  <c r="I445" i="2"/>
  <c r="L444" i="2"/>
  <c r="K444" i="2"/>
  <c r="K444" i="2" a="1"/>
  <c r="J444" i="2"/>
  <c r="I444" i="2"/>
  <c r="L443" i="2"/>
  <c r="K443" i="2"/>
  <c r="K443" i="2" a="1"/>
  <c r="J443" i="2"/>
  <c r="I443" i="2"/>
  <c r="L442" i="2"/>
  <c r="K442" i="2"/>
  <c r="K442" i="2" a="1"/>
  <c r="J442" i="2"/>
  <c r="I442" i="2"/>
  <c r="L441" i="2"/>
  <c r="K441" i="2"/>
  <c r="K441" i="2" a="1"/>
  <c r="J441" i="2"/>
  <c r="I441" i="2"/>
  <c r="L440" i="2"/>
  <c r="K440" i="2"/>
  <c r="K440" i="2" a="1"/>
  <c r="J440" i="2"/>
  <c r="I440" i="2"/>
  <c r="L439" i="2"/>
  <c r="K439" i="2"/>
  <c r="K439" i="2" a="1"/>
  <c r="J439" i="2"/>
  <c r="I439" i="2"/>
  <c r="L438" i="2"/>
  <c r="K438" i="2"/>
  <c r="K438" i="2" a="1"/>
  <c r="J438" i="2"/>
  <c r="I438" i="2"/>
  <c r="L437" i="2"/>
  <c r="K437" i="2"/>
  <c r="K437" i="2" a="1"/>
  <c r="J437" i="2"/>
  <c r="I437" i="2"/>
  <c r="L436" i="2"/>
  <c r="K436" i="2"/>
  <c r="K436" i="2" a="1"/>
  <c r="J436" i="2"/>
  <c r="I436" i="2"/>
  <c r="L435" i="2"/>
  <c r="K435" i="2"/>
  <c r="K435" i="2" a="1"/>
  <c r="J435" i="2"/>
  <c r="I435" i="2"/>
  <c r="L434" i="2"/>
  <c r="K434" i="2"/>
  <c r="K434" i="2" a="1"/>
  <c r="J434" i="2"/>
  <c r="I434" i="2"/>
  <c r="L433" i="2"/>
  <c r="K433" i="2"/>
  <c r="K433" i="2" a="1"/>
  <c r="J433" i="2"/>
  <c r="I433" i="2"/>
  <c r="L432" i="2"/>
  <c r="K432" i="2"/>
  <c r="K432" i="2" a="1"/>
  <c r="J432" i="2"/>
  <c r="I432" i="2"/>
  <c r="L431" i="2"/>
  <c r="K431" i="2"/>
  <c r="K431" i="2" a="1"/>
  <c r="J431" i="2"/>
  <c r="I431" i="2"/>
  <c r="L430" i="2"/>
  <c r="K430" i="2"/>
  <c r="K430" i="2" a="1"/>
  <c r="J430" i="2"/>
  <c r="I430" i="2"/>
  <c r="L429" i="2"/>
  <c r="K429" i="2"/>
  <c r="K429" i="2" a="1"/>
  <c r="J429" i="2"/>
  <c r="I429" i="2"/>
  <c r="L428" i="2"/>
  <c r="K428" i="2"/>
  <c r="K428" i="2" a="1"/>
  <c r="J428" i="2"/>
  <c r="I428" i="2"/>
  <c r="L427" i="2"/>
  <c r="K427" i="2"/>
  <c r="K427" i="2" a="1"/>
  <c r="J427" i="2"/>
  <c r="I427" i="2"/>
  <c r="L426" i="2"/>
  <c r="K426" i="2"/>
  <c r="K426" i="2" a="1"/>
  <c r="J426" i="2"/>
  <c r="I426" i="2"/>
  <c r="L425" i="2"/>
  <c r="K425" i="2"/>
  <c r="K425" i="2" a="1"/>
  <c r="J425" i="2"/>
  <c r="I425" i="2"/>
  <c r="L424" i="2"/>
  <c r="K424" i="2"/>
  <c r="K424" i="2" a="1"/>
  <c r="J424" i="2"/>
  <c r="I424" i="2"/>
  <c r="L423" i="2"/>
  <c r="K423" i="2"/>
  <c r="K423" i="2" a="1"/>
  <c r="J423" i="2"/>
  <c r="I423" i="2"/>
  <c r="L422" i="2"/>
  <c r="K422" i="2"/>
  <c r="K422" i="2" a="1"/>
  <c r="J422" i="2"/>
  <c r="I422" i="2"/>
  <c r="L421" i="2"/>
  <c r="K421" i="2"/>
  <c r="K421" i="2" a="1"/>
  <c r="J421" i="2"/>
  <c r="I421" i="2"/>
  <c r="L420" i="2"/>
  <c r="K420" i="2"/>
  <c r="K420" i="2" a="1"/>
  <c r="J420" i="2"/>
  <c r="I420" i="2"/>
  <c r="L419" i="2"/>
  <c r="K419" i="2"/>
  <c r="K419" i="2" a="1"/>
  <c r="J419" i="2"/>
  <c r="I419" i="2"/>
  <c r="L418" i="2"/>
  <c r="K418" i="2"/>
  <c r="K418" i="2" a="1"/>
  <c r="J418" i="2"/>
  <c r="I418" i="2"/>
  <c r="L417" i="2"/>
  <c r="K417" i="2"/>
  <c r="K417" i="2" a="1"/>
  <c r="J417" i="2"/>
  <c r="I417" i="2"/>
  <c r="L416" i="2"/>
  <c r="K416" i="2"/>
  <c r="K416" i="2" a="1"/>
  <c r="J416" i="2"/>
  <c r="I416" i="2"/>
  <c r="L415" i="2"/>
  <c r="K415" i="2"/>
  <c r="K415" i="2" a="1"/>
  <c r="J415" i="2"/>
  <c r="I415" i="2"/>
  <c r="L414" i="2"/>
  <c r="K414" i="2"/>
  <c r="K414" i="2" a="1"/>
  <c r="J414" i="2"/>
  <c r="I414" i="2"/>
  <c r="L413" i="2"/>
  <c r="K413" i="2"/>
  <c r="K413" i="2" a="1"/>
  <c r="J413" i="2"/>
  <c r="I413" i="2"/>
  <c r="L412" i="2"/>
  <c r="K412" i="2"/>
  <c r="K412" i="2" a="1"/>
  <c r="J412" i="2"/>
  <c r="I412" i="2"/>
  <c r="L411" i="2"/>
  <c r="K411" i="2"/>
  <c r="K411" i="2" a="1"/>
  <c r="J411" i="2"/>
  <c r="I411" i="2"/>
  <c r="L410" i="2"/>
  <c r="K410" i="2"/>
  <c r="K410" i="2" a="1"/>
  <c r="J410" i="2"/>
  <c r="I410" i="2"/>
  <c r="L409" i="2"/>
  <c r="K409" i="2"/>
  <c r="K409" i="2" a="1"/>
  <c r="J409" i="2"/>
  <c r="I409" i="2"/>
  <c r="L408" i="2"/>
  <c r="K408" i="2"/>
  <c r="K408" i="2" a="1"/>
  <c r="J408" i="2"/>
  <c r="I408" i="2"/>
  <c r="L407" i="2"/>
  <c r="K407" i="2"/>
  <c r="K407" i="2" a="1"/>
  <c r="J407" i="2"/>
  <c r="I407" i="2"/>
  <c r="L406" i="2"/>
  <c r="K406" i="2"/>
  <c r="K406" i="2" a="1"/>
  <c r="J406" i="2"/>
  <c r="I406" i="2"/>
  <c r="L405" i="2"/>
  <c r="K405" i="2"/>
  <c r="K405" i="2" a="1"/>
  <c r="J405" i="2"/>
  <c r="I405" i="2"/>
  <c r="L404" i="2"/>
  <c r="K404" i="2"/>
  <c r="K404" i="2" a="1"/>
  <c r="J404" i="2"/>
  <c r="I404" i="2"/>
  <c r="L403" i="2"/>
  <c r="K403" i="2"/>
  <c r="K403" i="2" a="1"/>
  <c r="J403" i="2"/>
  <c r="I403" i="2"/>
  <c r="L402" i="2"/>
  <c r="K402" i="2"/>
  <c r="K402" i="2" a="1"/>
  <c r="J402" i="2"/>
  <c r="I402" i="2"/>
  <c r="L401" i="2"/>
  <c r="K401" i="2"/>
  <c r="K401" i="2" a="1"/>
  <c r="J401" i="2"/>
  <c r="I401" i="2"/>
  <c r="L400" i="2"/>
  <c r="K400" i="2"/>
  <c r="K400" i="2" a="1"/>
  <c r="J400" i="2"/>
  <c r="I400" i="2"/>
  <c r="L399" i="2"/>
  <c r="K399" i="2"/>
  <c r="K399" i="2" a="1"/>
  <c r="J399" i="2"/>
  <c r="I399" i="2"/>
  <c r="L398" i="2"/>
  <c r="K398" i="2"/>
  <c r="K398" i="2" a="1"/>
  <c r="J398" i="2"/>
  <c r="I398" i="2"/>
  <c r="L397" i="2"/>
  <c r="K397" i="2"/>
  <c r="K397" i="2" a="1"/>
  <c r="J397" i="2"/>
  <c r="I397" i="2"/>
  <c r="L396" i="2"/>
  <c r="K396" i="2"/>
  <c r="K396" i="2" a="1"/>
  <c r="J396" i="2"/>
  <c r="I396" i="2"/>
  <c r="L395" i="2"/>
  <c r="K395" i="2"/>
  <c r="K395" i="2" a="1"/>
  <c r="J395" i="2"/>
  <c r="I395" i="2"/>
  <c r="L394" i="2"/>
  <c r="K394" i="2"/>
  <c r="K394" i="2" a="1"/>
  <c r="J394" i="2"/>
  <c r="I394" i="2"/>
  <c r="L393" i="2"/>
  <c r="K393" i="2"/>
  <c r="K393" i="2" a="1"/>
  <c r="J393" i="2"/>
  <c r="I393" i="2"/>
  <c r="L392" i="2"/>
  <c r="K392" i="2"/>
  <c r="K392" i="2" a="1"/>
  <c r="J392" i="2"/>
  <c r="I392" i="2"/>
  <c r="L391" i="2"/>
  <c r="K391" i="2"/>
  <c r="K391" i="2" a="1"/>
  <c r="J391" i="2"/>
  <c r="I391" i="2"/>
  <c r="L390" i="2"/>
  <c r="K390" i="2"/>
  <c r="K390" i="2" a="1"/>
  <c r="J390" i="2"/>
  <c r="I390" i="2"/>
  <c r="L389" i="2"/>
  <c r="K389" i="2"/>
  <c r="K389" i="2" a="1"/>
  <c r="J389" i="2"/>
  <c r="I389" i="2"/>
  <c r="L388" i="2"/>
  <c r="K388" i="2"/>
  <c r="K388" i="2" a="1"/>
  <c r="J388" i="2"/>
  <c r="I388" i="2"/>
  <c r="L387" i="2"/>
  <c r="K387" i="2"/>
  <c r="K387" i="2" a="1"/>
  <c r="J387" i="2"/>
  <c r="I387" i="2"/>
  <c r="L386" i="2"/>
  <c r="K386" i="2"/>
  <c r="K386" i="2" a="1"/>
  <c r="J386" i="2"/>
  <c r="I386" i="2"/>
  <c r="L385" i="2"/>
  <c r="K385" i="2"/>
  <c r="K385" i="2" a="1"/>
  <c r="J385" i="2"/>
  <c r="I385" i="2"/>
  <c r="L384" i="2"/>
  <c r="K384" i="2"/>
  <c r="K384" i="2" a="1"/>
  <c r="J384" i="2"/>
  <c r="I384" i="2"/>
  <c r="L383" i="2"/>
  <c r="K383" i="2"/>
  <c r="K383" i="2" a="1"/>
  <c r="J383" i="2"/>
  <c r="I383" i="2"/>
  <c r="L382" i="2"/>
  <c r="K382" i="2"/>
  <c r="K382" i="2" a="1"/>
  <c r="J382" i="2"/>
  <c r="I382" i="2"/>
  <c r="L381" i="2"/>
  <c r="K381" i="2"/>
  <c r="K381" i="2" a="1"/>
  <c r="J381" i="2"/>
  <c r="I381" i="2"/>
  <c r="L380" i="2"/>
  <c r="K380" i="2"/>
  <c r="K380" i="2" a="1"/>
  <c r="J380" i="2"/>
  <c r="I380" i="2"/>
  <c r="L379" i="2"/>
  <c r="K379" i="2"/>
  <c r="K379" i="2" a="1"/>
  <c r="J379" i="2"/>
  <c r="I379" i="2"/>
  <c r="L378" i="2"/>
  <c r="K378" i="2"/>
  <c r="K378" i="2" a="1"/>
  <c r="J378" i="2"/>
  <c r="I378" i="2"/>
  <c r="L377" i="2"/>
  <c r="K377" i="2"/>
  <c r="K377" i="2" a="1"/>
  <c r="J377" i="2"/>
  <c r="I377" i="2"/>
  <c r="L376" i="2"/>
  <c r="K376" i="2"/>
  <c r="K376" i="2" a="1"/>
  <c r="J376" i="2"/>
  <c r="I376" i="2"/>
  <c r="L375" i="2"/>
  <c r="K375" i="2"/>
  <c r="K375" i="2" a="1"/>
  <c r="J375" i="2"/>
  <c r="I375" i="2"/>
  <c r="L374" i="2"/>
  <c r="K374" i="2"/>
  <c r="K374" i="2" a="1"/>
  <c r="J374" i="2"/>
  <c r="I374" i="2"/>
  <c r="L373" i="2"/>
  <c r="K373" i="2"/>
  <c r="K373" i="2" a="1"/>
  <c r="J373" i="2"/>
  <c r="I373" i="2"/>
  <c r="L372" i="2"/>
  <c r="K372" i="2"/>
  <c r="K372" i="2" a="1"/>
  <c r="J372" i="2"/>
  <c r="I372" i="2"/>
  <c r="L371" i="2"/>
  <c r="K371" i="2"/>
  <c r="K371" i="2" a="1"/>
  <c r="J371" i="2"/>
  <c r="I371" i="2"/>
  <c r="L370" i="2"/>
  <c r="K370" i="2"/>
  <c r="K370" i="2" a="1"/>
  <c r="J370" i="2"/>
  <c r="I370" i="2"/>
  <c r="L369" i="2"/>
  <c r="K369" i="2"/>
  <c r="K369" i="2" a="1"/>
  <c r="J369" i="2"/>
  <c r="I369" i="2"/>
  <c r="L368" i="2"/>
  <c r="K368" i="2"/>
  <c r="K368" i="2" a="1"/>
  <c r="J368" i="2"/>
  <c r="I368" i="2"/>
  <c r="L367" i="2"/>
  <c r="K367" i="2"/>
  <c r="K367" i="2" a="1"/>
  <c r="J367" i="2"/>
  <c r="I367" i="2"/>
  <c r="L366" i="2"/>
  <c r="K366" i="2"/>
  <c r="K366" i="2" a="1"/>
  <c r="J366" i="2"/>
  <c r="I366" i="2"/>
  <c r="L365" i="2"/>
  <c r="K365" i="2"/>
  <c r="K365" i="2" a="1"/>
  <c r="J365" i="2"/>
  <c r="I365" i="2"/>
  <c r="L364" i="2"/>
  <c r="K364" i="2"/>
  <c r="K364" i="2" a="1"/>
  <c r="J364" i="2"/>
  <c r="I364" i="2"/>
  <c r="L363" i="2"/>
  <c r="K363" i="2"/>
  <c r="K363" i="2" a="1"/>
  <c r="J363" i="2"/>
  <c r="I363" i="2"/>
  <c r="L362" i="2"/>
  <c r="K362" i="2"/>
  <c r="K362" i="2" a="1"/>
  <c r="J362" i="2"/>
  <c r="I362" i="2"/>
  <c r="L361" i="2"/>
  <c r="K361" i="2"/>
  <c r="K361" i="2" a="1"/>
  <c r="J361" i="2"/>
  <c r="I361" i="2"/>
  <c r="L360" i="2"/>
  <c r="K360" i="2"/>
  <c r="K360" i="2" a="1"/>
  <c r="J360" i="2"/>
  <c r="I360" i="2"/>
  <c r="L359" i="2"/>
  <c r="K359" i="2"/>
  <c r="K359" i="2" a="1"/>
  <c r="J359" i="2"/>
  <c r="I359" i="2"/>
  <c r="L358" i="2"/>
  <c r="K358" i="2"/>
  <c r="K358" i="2" a="1"/>
  <c r="J358" i="2"/>
  <c r="I358" i="2"/>
  <c r="L357" i="2"/>
  <c r="K357" i="2"/>
  <c r="K357" i="2" a="1"/>
  <c r="J357" i="2"/>
  <c r="I357" i="2"/>
  <c r="L356" i="2"/>
  <c r="K356" i="2"/>
  <c r="K356" i="2" a="1"/>
  <c r="J356" i="2"/>
  <c r="I356" i="2"/>
  <c r="L355" i="2"/>
  <c r="K355" i="2"/>
  <c r="K355" i="2" a="1"/>
  <c r="J355" i="2"/>
  <c r="I355" i="2"/>
  <c r="L354" i="2"/>
  <c r="K354" i="2"/>
  <c r="K354" i="2" a="1"/>
  <c r="J354" i="2"/>
  <c r="I354" i="2"/>
  <c r="L353" i="2"/>
  <c r="K353" i="2"/>
  <c r="K353" i="2" a="1"/>
  <c r="J353" i="2"/>
  <c r="I353" i="2"/>
  <c r="L352" i="2"/>
  <c r="K352" i="2"/>
  <c r="K352" i="2" a="1"/>
  <c r="J352" i="2"/>
  <c r="I352" i="2"/>
  <c r="L351" i="2"/>
  <c r="K351" i="2"/>
  <c r="K351" i="2" a="1"/>
  <c r="J351" i="2"/>
  <c r="I351" i="2"/>
  <c r="L350" i="2"/>
  <c r="K350" i="2"/>
  <c r="K350" i="2" a="1"/>
  <c r="J350" i="2"/>
  <c r="I350" i="2"/>
  <c r="L349" i="2"/>
  <c r="K349" i="2"/>
  <c r="K349" i="2" a="1"/>
  <c r="J349" i="2"/>
  <c r="I349" i="2"/>
  <c r="L348" i="2"/>
  <c r="K348" i="2"/>
  <c r="K348" i="2" a="1"/>
  <c r="J348" i="2"/>
  <c r="I348" i="2"/>
  <c r="L347" i="2"/>
  <c r="K347" i="2"/>
  <c r="K347" i="2" a="1"/>
  <c r="J347" i="2"/>
  <c r="I347" i="2"/>
  <c r="L346" i="2"/>
  <c r="K346" i="2"/>
  <c r="K346" i="2" a="1"/>
  <c r="J346" i="2"/>
  <c r="I346" i="2"/>
  <c r="L345" i="2"/>
  <c r="K345" i="2"/>
  <c r="K345" i="2" a="1"/>
  <c r="J345" i="2"/>
  <c r="I345" i="2"/>
  <c r="L344" i="2"/>
  <c r="K344" i="2"/>
  <c r="K344" i="2" a="1"/>
  <c r="J344" i="2"/>
  <c r="I344" i="2"/>
  <c r="L343" i="2"/>
  <c r="K343" i="2"/>
  <c r="K343" i="2" a="1"/>
  <c r="J343" i="2"/>
  <c r="I343" i="2"/>
  <c r="L342" i="2"/>
  <c r="K342" i="2"/>
  <c r="K342" i="2" a="1"/>
  <c r="J342" i="2"/>
  <c r="I342" i="2"/>
  <c r="L341" i="2"/>
  <c r="K341" i="2"/>
  <c r="K341" i="2" a="1"/>
  <c r="J341" i="2"/>
  <c r="I341" i="2"/>
  <c r="L340" i="2"/>
  <c r="K340" i="2"/>
  <c r="K340" i="2" a="1"/>
  <c r="J340" i="2"/>
  <c r="I340" i="2"/>
  <c r="L339" i="2"/>
  <c r="K339" i="2"/>
  <c r="K339" i="2" a="1"/>
  <c r="J339" i="2"/>
  <c r="I339" i="2"/>
  <c r="L338" i="2"/>
  <c r="K338" i="2"/>
  <c r="K338" i="2" a="1"/>
  <c r="J338" i="2"/>
  <c r="I338" i="2"/>
  <c r="L337" i="2"/>
  <c r="K337" i="2"/>
  <c r="K337" i="2" a="1"/>
  <c r="J337" i="2"/>
  <c r="I337" i="2"/>
  <c r="L336" i="2"/>
  <c r="K336" i="2"/>
  <c r="K336" i="2" a="1"/>
  <c r="J336" i="2"/>
  <c r="I336" i="2"/>
  <c r="L335" i="2"/>
  <c r="K335" i="2"/>
  <c r="K335" i="2" a="1"/>
  <c r="J335" i="2"/>
  <c r="I335" i="2"/>
  <c r="L334" i="2"/>
  <c r="K334" i="2"/>
  <c r="K334" i="2" a="1"/>
  <c r="J334" i="2"/>
  <c r="I334" i="2"/>
  <c r="L333" i="2"/>
  <c r="K333" i="2"/>
  <c r="K333" i="2" a="1"/>
  <c r="J333" i="2"/>
  <c r="I333" i="2"/>
  <c r="L332" i="2"/>
  <c r="K332" i="2"/>
  <c r="K332" i="2" a="1"/>
  <c r="J332" i="2"/>
  <c r="I332" i="2"/>
  <c r="L331" i="2"/>
  <c r="K331" i="2"/>
  <c r="K331" i="2" a="1"/>
  <c r="J331" i="2"/>
  <c r="I331" i="2"/>
  <c r="L330" i="2"/>
  <c r="K330" i="2"/>
  <c r="K330" i="2" a="1"/>
  <c r="J330" i="2"/>
  <c r="I330" i="2"/>
  <c r="L329" i="2"/>
  <c r="K329" i="2"/>
  <c r="K329" i="2" a="1"/>
  <c r="J329" i="2"/>
  <c r="I329" i="2"/>
  <c r="L328" i="2"/>
  <c r="K328" i="2"/>
  <c r="K328" i="2" a="1"/>
  <c r="J328" i="2"/>
  <c r="I328" i="2"/>
  <c r="L327" i="2"/>
  <c r="K327" i="2"/>
  <c r="K327" i="2" a="1"/>
  <c r="J327" i="2"/>
  <c r="I327" i="2"/>
  <c r="L326" i="2"/>
  <c r="K326" i="2"/>
  <c r="K326" i="2" a="1"/>
  <c r="J326" i="2"/>
  <c r="I326" i="2"/>
  <c r="L325" i="2"/>
  <c r="K325" i="2"/>
  <c r="K325" i="2" a="1"/>
  <c r="J325" i="2"/>
  <c r="I325" i="2"/>
  <c r="L324" i="2"/>
  <c r="K324" i="2"/>
  <c r="K324" i="2" a="1"/>
  <c r="J324" i="2"/>
  <c r="I324" i="2"/>
  <c r="L323" i="2"/>
  <c r="K323" i="2"/>
  <c r="K323" i="2" a="1"/>
  <c r="J323" i="2"/>
  <c r="I323" i="2"/>
  <c r="L322" i="2"/>
  <c r="K322" i="2"/>
  <c r="K322" i="2" a="1"/>
  <c r="J322" i="2"/>
  <c r="I322" i="2"/>
  <c r="L321" i="2"/>
  <c r="K321" i="2"/>
  <c r="K321" i="2" a="1"/>
  <c r="J321" i="2"/>
  <c r="I321" i="2"/>
  <c r="L320" i="2"/>
  <c r="K320" i="2"/>
  <c r="K320" i="2" a="1"/>
  <c r="J320" i="2"/>
  <c r="I320" i="2"/>
  <c r="L319" i="2"/>
  <c r="K319" i="2"/>
  <c r="K319" i="2" a="1"/>
  <c r="J319" i="2"/>
  <c r="I319" i="2"/>
  <c r="L318" i="2"/>
  <c r="K318" i="2"/>
  <c r="K318" i="2" a="1"/>
  <c r="J318" i="2"/>
  <c r="I318" i="2"/>
  <c r="L317" i="2"/>
  <c r="K317" i="2"/>
  <c r="K317" i="2" a="1"/>
  <c r="J317" i="2"/>
  <c r="I317" i="2"/>
  <c r="L316" i="2"/>
  <c r="K316" i="2"/>
  <c r="K316" i="2" a="1"/>
  <c r="J316" i="2"/>
  <c r="I316" i="2"/>
  <c r="L315" i="2"/>
  <c r="K315" i="2"/>
  <c r="K315" i="2" a="1"/>
  <c r="J315" i="2"/>
  <c r="I315" i="2"/>
  <c r="L314" i="2"/>
  <c r="K314" i="2"/>
  <c r="K314" i="2" a="1"/>
  <c r="J314" i="2"/>
  <c r="I314" i="2"/>
  <c r="L313" i="2"/>
  <c r="K313" i="2"/>
  <c r="K313" i="2" a="1"/>
  <c r="J313" i="2"/>
  <c r="I313" i="2"/>
  <c r="L312" i="2"/>
  <c r="K312" i="2"/>
  <c r="K312" i="2" a="1"/>
  <c r="J312" i="2"/>
  <c r="I312" i="2"/>
  <c r="L311" i="2"/>
  <c r="K311" i="2"/>
  <c r="K311" i="2" a="1"/>
  <c r="J311" i="2"/>
  <c r="I311" i="2"/>
  <c r="L310" i="2"/>
  <c r="K310" i="2"/>
  <c r="K310" i="2" a="1"/>
  <c r="J310" i="2"/>
  <c r="I310" i="2"/>
  <c r="L309" i="2"/>
  <c r="K309" i="2"/>
  <c r="K309" i="2" a="1"/>
  <c r="J309" i="2"/>
  <c r="I309" i="2"/>
  <c r="L308" i="2"/>
  <c r="K308" i="2"/>
  <c r="K308" i="2" a="1"/>
  <c r="J308" i="2"/>
  <c r="I308" i="2"/>
  <c r="L307" i="2"/>
  <c r="K307" i="2"/>
  <c r="K307" i="2" a="1"/>
  <c r="J307" i="2"/>
  <c r="I307" i="2"/>
  <c r="L306" i="2"/>
  <c r="K306" i="2"/>
  <c r="K306" i="2" a="1"/>
  <c r="J306" i="2"/>
  <c r="I306" i="2"/>
  <c r="L305" i="2"/>
  <c r="K305" i="2"/>
  <c r="K305" i="2" a="1"/>
  <c r="J305" i="2"/>
  <c r="I305" i="2"/>
  <c r="L304" i="2"/>
  <c r="K304" i="2"/>
  <c r="K304" i="2" a="1"/>
  <c r="J304" i="2"/>
  <c r="I304" i="2"/>
  <c r="L303" i="2"/>
  <c r="K303" i="2"/>
  <c r="K303" i="2" a="1"/>
  <c r="J303" i="2"/>
  <c r="I303" i="2"/>
  <c r="L302" i="2"/>
  <c r="K302" i="2"/>
  <c r="K302" i="2" a="1"/>
  <c r="J302" i="2"/>
  <c r="I302" i="2"/>
  <c r="L301" i="2"/>
  <c r="K301" i="2"/>
  <c r="K301" i="2" a="1"/>
  <c r="J301" i="2"/>
  <c r="I301" i="2"/>
  <c r="L300" i="2"/>
  <c r="K300" i="2"/>
  <c r="K300" i="2" a="1"/>
  <c r="J300" i="2"/>
  <c r="I300" i="2"/>
  <c r="L299" i="2"/>
  <c r="K299" i="2"/>
  <c r="K299" i="2" a="1"/>
  <c r="J299" i="2"/>
  <c r="I299" i="2"/>
  <c r="L298" i="2"/>
  <c r="K298" i="2"/>
  <c r="K298" i="2" a="1"/>
  <c r="J298" i="2"/>
  <c r="I298" i="2"/>
  <c r="L297" i="2"/>
  <c r="K297" i="2"/>
  <c r="K297" i="2" a="1"/>
  <c r="J297" i="2"/>
  <c r="I297" i="2"/>
  <c r="L296" i="2"/>
  <c r="K296" i="2"/>
  <c r="K296" i="2" a="1"/>
  <c r="J296" i="2"/>
  <c r="I296" i="2"/>
  <c r="L295" i="2"/>
  <c r="K295" i="2"/>
  <c r="K295" i="2" a="1"/>
  <c r="J295" i="2"/>
  <c r="I295" i="2"/>
  <c r="L294" i="2"/>
  <c r="K294" i="2"/>
  <c r="K294" i="2" a="1"/>
  <c r="J294" i="2"/>
  <c r="I294" i="2"/>
  <c r="L293" i="2"/>
  <c r="K293" i="2"/>
  <c r="K293" i="2" a="1"/>
  <c r="J293" i="2"/>
  <c r="I293" i="2"/>
  <c r="L292" i="2"/>
  <c r="K292" i="2"/>
  <c r="K292" i="2" a="1"/>
  <c r="J292" i="2"/>
  <c r="I292" i="2"/>
  <c r="L291" i="2"/>
  <c r="K291" i="2"/>
  <c r="K291" i="2" a="1"/>
  <c r="J291" i="2"/>
  <c r="I291" i="2"/>
  <c r="L290" i="2"/>
  <c r="K290" i="2"/>
  <c r="K290" i="2" a="1"/>
  <c r="J290" i="2"/>
  <c r="I290" i="2"/>
  <c r="L289" i="2"/>
  <c r="K289" i="2"/>
  <c r="K289" i="2" a="1"/>
  <c r="J289" i="2"/>
  <c r="I289" i="2"/>
  <c r="L288" i="2"/>
  <c r="K288" i="2"/>
  <c r="K288" i="2" a="1"/>
  <c r="J288" i="2"/>
  <c r="I288" i="2"/>
  <c r="L287" i="2"/>
  <c r="K287" i="2"/>
  <c r="K287" i="2" a="1"/>
  <c r="J287" i="2"/>
  <c r="I287" i="2"/>
  <c r="L286" i="2"/>
  <c r="K286" i="2"/>
  <c r="K286" i="2" a="1"/>
  <c r="J286" i="2"/>
  <c r="I286" i="2"/>
  <c r="L285" i="2"/>
  <c r="K285" i="2"/>
  <c r="K285" i="2" a="1"/>
  <c r="J285" i="2"/>
  <c r="I285" i="2"/>
  <c r="L284" i="2"/>
  <c r="K284" i="2"/>
  <c r="K284" i="2" a="1"/>
  <c r="J284" i="2"/>
  <c r="I284" i="2"/>
  <c r="L283" i="2"/>
  <c r="K283" i="2"/>
  <c r="K283" i="2" a="1"/>
  <c r="J283" i="2"/>
  <c r="I283" i="2"/>
  <c r="L282" i="2"/>
  <c r="K282" i="2"/>
  <c r="K282" i="2" a="1"/>
  <c r="J282" i="2"/>
  <c r="I282" i="2"/>
  <c r="L281" i="2"/>
  <c r="K281" i="2"/>
  <c r="K281" i="2" a="1"/>
  <c r="J281" i="2"/>
  <c r="I281" i="2"/>
  <c r="L280" i="2"/>
  <c r="K280" i="2"/>
  <c r="K280" i="2" a="1"/>
  <c r="J280" i="2"/>
  <c r="I280" i="2"/>
  <c r="L279" i="2"/>
  <c r="K279" i="2"/>
  <c r="K279" i="2" a="1"/>
  <c r="J279" i="2"/>
  <c r="I279" i="2"/>
  <c r="L278" i="2"/>
  <c r="K278" i="2"/>
  <c r="K278" i="2" a="1"/>
  <c r="J278" i="2"/>
  <c r="I278" i="2"/>
  <c r="L277" i="2"/>
  <c r="K277" i="2"/>
  <c r="K277" i="2" a="1"/>
  <c r="J277" i="2"/>
  <c r="I277" i="2"/>
  <c r="L276" i="2"/>
  <c r="K276" i="2"/>
  <c r="K276" i="2" a="1"/>
  <c r="J276" i="2"/>
  <c r="I276" i="2"/>
  <c r="L275" i="2"/>
  <c r="K275" i="2"/>
  <c r="K275" i="2" a="1"/>
  <c r="J275" i="2"/>
  <c r="I275" i="2"/>
  <c r="L274" i="2"/>
  <c r="K274" i="2"/>
  <c r="K274" i="2" a="1"/>
  <c r="J274" i="2"/>
  <c r="I274" i="2"/>
  <c r="L273" i="2"/>
  <c r="K273" i="2"/>
  <c r="K273" i="2" a="1"/>
  <c r="J273" i="2"/>
  <c r="I273" i="2"/>
  <c r="L272" i="2"/>
  <c r="K272" i="2"/>
  <c r="K272" i="2" a="1"/>
  <c r="J272" i="2"/>
  <c r="I272" i="2"/>
  <c r="L271" i="2"/>
  <c r="K271" i="2"/>
  <c r="K271" i="2" a="1"/>
  <c r="J271" i="2"/>
  <c r="I271" i="2"/>
  <c r="L270" i="2"/>
  <c r="K270" i="2"/>
  <c r="K270" i="2" a="1"/>
  <c r="J270" i="2"/>
  <c r="I270" i="2"/>
  <c r="L269" i="2"/>
  <c r="K269" i="2"/>
  <c r="K269" i="2" a="1"/>
  <c r="J269" i="2"/>
  <c r="I269" i="2"/>
  <c r="L268" i="2"/>
  <c r="K268" i="2"/>
  <c r="K268" i="2" a="1"/>
  <c r="J268" i="2"/>
  <c r="I268" i="2"/>
  <c r="L267" i="2"/>
  <c r="K267" i="2"/>
  <c r="K267" i="2" a="1"/>
  <c r="J267" i="2"/>
  <c r="I267" i="2"/>
  <c r="L266" i="2"/>
  <c r="K266" i="2"/>
  <c r="K266" i="2" a="1"/>
  <c r="J266" i="2"/>
  <c r="I266" i="2"/>
  <c r="L265" i="2"/>
  <c r="K265" i="2"/>
  <c r="K265" i="2" a="1"/>
  <c r="J265" i="2"/>
  <c r="I265" i="2"/>
  <c r="L264" i="2"/>
  <c r="K264" i="2"/>
  <c r="K264" i="2" a="1"/>
  <c r="J264" i="2"/>
  <c r="I264" i="2"/>
  <c r="L263" i="2"/>
  <c r="K263" i="2"/>
  <c r="K263" i="2" a="1"/>
  <c r="J263" i="2"/>
  <c r="I263" i="2"/>
  <c r="L262" i="2"/>
  <c r="K262" i="2"/>
  <c r="K262" i="2" a="1"/>
  <c r="J262" i="2"/>
  <c r="I262" i="2"/>
  <c r="L261" i="2"/>
  <c r="K261" i="2"/>
  <c r="K261" i="2" a="1"/>
  <c r="J261" i="2"/>
  <c r="I261" i="2"/>
  <c r="L260" i="2"/>
  <c r="K260" i="2"/>
  <c r="K260" i="2" a="1"/>
  <c r="J260" i="2"/>
  <c r="I260" i="2"/>
  <c r="L259" i="2"/>
  <c r="K259" i="2"/>
  <c r="K259" i="2" a="1"/>
  <c r="J259" i="2"/>
  <c r="I259" i="2"/>
  <c r="L258" i="2"/>
  <c r="K258" i="2"/>
  <c r="K258" i="2" a="1"/>
  <c r="J258" i="2"/>
  <c r="I258" i="2"/>
  <c r="L257" i="2"/>
  <c r="K257" i="2"/>
  <c r="K257" i="2" a="1"/>
  <c r="J257" i="2"/>
  <c r="I257" i="2"/>
  <c r="L256" i="2"/>
  <c r="K256" i="2"/>
  <c r="K256" i="2" a="1"/>
  <c r="J256" i="2"/>
  <c r="I256" i="2"/>
  <c r="L255" i="2"/>
  <c r="K255" i="2"/>
  <c r="K255" i="2" a="1"/>
  <c r="J255" i="2"/>
  <c r="I255" i="2"/>
  <c r="L254" i="2"/>
  <c r="K254" i="2"/>
  <c r="K254" i="2" a="1"/>
  <c r="J254" i="2"/>
  <c r="I254" i="2"/>
  <c r="L253" i="2"/>
  <c r="K253" i="2"/>
  <c r="K253" i="2" a="1"/>
  <c r="J253" i="2"/>
  <c r="I253" i="2"/>
  <c r="L252" i="2"/>
  <c r="K252" i="2"/>
  <c r="K252" i="2" a="1"/>
  <c r="J252" i="2"/>
  <c r="I252" i="2"/>
  <c r="L251" i="2"/>
  <c r="K251" i="2"/>
  <c r="K251" i="2" a="1"/>
  <c r="J251" i="2"/>
  <c r="I251" i="2"/>
  <c r="L250" i="2"/>
  <c r="K250" i="2"/>
  <c r="K250" i="2" a="1"/>
  <c r="J250" i="2"/>
  <c r="I250" i="2"/>
  <c r="L249" i="2"/>
  <c r="K249" i="2"/>
  <c r="K249" i="2" a="1"/>
  <c r="J249" i="2"/>
  <c r="I249" i="2"/>
  <c r="L248" i="2"/>
  <c r="K248" i="2"/>
  <c r="K248" i="2" a="1"/>
  <c r="J248" i="2"/>
  <c r="I248" i="2"/>
  <c r="L247" i="2"/>
  <c r="K247" i="2"/>
  <c r="K247" i="2" a="1"/>
  <c r="J247" i="2"/>
  <c r="I247" i="2"/>
  <c r="L246" i="2"/>
  <c r="K246" i="2"/>
  <c r="K246" i="2" a="1"/>
  <c r="J246" i="2"/>
  <c r="I246" i="2"/>
  <c r="L245" i="2"/>
  <c r="K245" i="2"/>
  <c r="K245" i="2" a="1"/>
  <c r="J245" i="2"/>
  <c r="I245" i="2"/>
  <c r="L244" i="2"/>
  <c r="K244" i="2"/>
  <c r="K244" i="2" a="1"/>
  <c r="J244" i="2"/>
  <c r="I244" i="2"/>
  <c r="L243" i="2"/>
  <c r="K243" i="2"/>
  <c r="K243" i="2" a="1"/>
  <c r="J243" i="2"/>
  <c r="I243" i="2"/>
  <c r="L242" i="2"/>
  <c r="K242" i="2"/>
  <c r="K242" i="2" a="1"/>
  <c r="J242" i="2"/>
  <c r="I242" i="2"/>
  <c r="L241" i="2"/>
  <c r="K241" i="2"/>
  <c r="K241" i="2" a="1"/>
  <c r="J241" i="2"/>
  <c r="I241" i="2"/>
  <c r="L240" i="2"/>
  <c r="K240" i="2"/>
  <c r="K240" i="2" a="1"/>
  <c r="J240" i="2"/>
  <c r="I240" i="2"/>
  <c r="L239" i="2"/>
  <c r="K239" i="2"/>
  <c r="K239" i="2" a="1"/>
  <c r="J239" i="2"/>
  <c r="I239" i="2"/>
  <c r="L238" i="2"/>
  <c r="K238" i="2"/>
  <c r="K238" i="2" a="1"/>
  <c r="J238" i="2"/>
  <c r="I238" i="2"/>
  <c r="L237" i="2"/>
  <c r="K237" i="2"/>
  <c r="K237" i="2" a="1"/>
  <c r="J237" i="2"/>
  <c r="I237" i="2"/>
  <c r="L236" i="2"/>
  <c r="K236" i="2"/>
  <c r="K236" i="2" a="1"/>
  <c r="J236" i="2"/>
  <c r="I236" i="2"/>
  <c r="L235" i="2"/>
  <c r="K235" i="2"/>
  <c r="K235" i="2" a="1"/>
  <c r="J235" i="2"/>
  <c r="I235" i="2"/>
  <c r="L234" i="2"/>
  <c r="K234" i="2"/>
  <c r="K234" i="2" a="1"/>
  <c r="J234" i="2"/>
  <c r="I234" i="2"/>
  <c r="L233" i="2"/>
  <c r="K233" i="2"/>
  <c r="K233" i="2" a="1"/>
  <c r="J233" i="2"/>
  <c r="I233" i="2"/>
  <c r="L232" i="2"/>
  <c r="K232" i="2"/>
  <c r="K232" i="2" a="1"/>
  <c r="J232" i="2"/>
  <c r="I232" i="2"/>
  <c r="L231" i="2"/>
  <c r="K231" i="2"/>
  <c r="K231" i="2" a="1"/>
  <c r="J231" i="2"/>
  <c r="I231" i="2"/>
  <c r="L230" i="2"/>
  <c r="K230" i="2"/>
  <c r="K230" i="2" a="1"/>
  <c r="J230" i="2"/>
  <c r="I230" i="2"/>
  <c r="L229" i="2"/>
  <c r="K229" i="2"/>
  <c r="K229" i="2" a="1"/>
  <c r="J229" i="2"/>
  <c r="I229" i="2"/>
  <c r="L228" i="2"/>
  <c r="K228" i="2"/>
  <c r="K228" i="2" a="1"/>
  <c r="J228" i="2"/>
  <c r="I228" i="2"/>
  <c r="L227" i="2"/>
  <c r="K227" i="2"/>
  <c r="K227" i="2" a="1"/>
  <c r="J227" i="2"/>
  <c r="I227" i="2"/>
  <c r="L226" i="2"/>
  <c r="K226" i="2"/>
  <c r="K226" i="2" a="1"/>
  <c r="J226" i="2"/>
  <c r="I226" i="2"/>
  <c r="L225" i="2"/>
  <c r="K225" i="2"/>
  <c r="K225" i="2" a="1"/>
  <c r="J225" i="2"/>
  <c r="I225" i="2"/>
  <c r="L224" i="2"/>
  <c r="K224" i="2"/>
  <c r="K224" i="2" a="1"/>
  <c r="J224" i="2"/>
  <c r="I224" i="2"/>
  <c r="L223" i="2"/>
  <c r="K223" i="2"/>
  <c r="K223" i="2" a="1"/>
  <c r="J223" i="2"/>
  <c r="I223" i="2"/>
  <c r="L222" i="2"/>
  <c r="K222" i="2"/>
  <c r="K222" i="2" a="1"/>
  <c r="J222" i="2"/>
  <c r="I222" i="2"/>
  <c r="L221" i="2"/>
  <c r="K221" i="2"/>
  <c r="K221" i="2" a="1"/>
  <c r="J221" i="2"/>
  <c r="I221" i="2"/>
  <c r="L220" i="2"/>
  <c r="K220" i="2"/>
  <c r="K220" i="2" a="1"/>
  <c r="J220" i="2"/>
  <c r="I220" i="2"/>
  <c r="L219" i="2"/>
  <c r="K219" i="2"/>
  <c r="K219" i="2" a="1"/>
  <c r="J219" i="2"/>
  <c r="I219" i="2"/>
  <c r="L218" i="2"/>
  <c r="K218" i="2"/>
  <c r="K218" i="2" a="1"/>
  <c r="J218" i="2"/>
  <c r="I218" i="2"/>
  <c r="L217" i="2"/>
  <c r="K217" i="2"/>
  <c r="K217" i="2" a="1"/>
  <c r="J217" i="2"/>
  <c r="I217" i="2"/>
  <c r="L216" i="2"/>
  <c r="K216" i="2"/>
  <c r="K216" i="2" a="1"/>
  <c r="J216" i="2"/>
  <c r="I216" i="2"/>
  <c r="L215" i="2"/>
  <c r="K215" i="2"/>
  <c r="K215" i="2" a="1"/>
  <c r="J215" i="2"/>
  <c r="I215" i="2"/>
  <c r="L214" i="2"/>
  <c r="K214" i="2"/>
  <c r="K214" i="2" a="1"/>
  <c r="J214" i="2"/>
  <c r="I214" i="2"/>
  <c r="L213" i="2"/>
  <c r="K213" i="2"/>
  <c r="K213" i="2" a="1"/>
  <c r="J213" i="2"/>
  <c r="I213" i="2"/>
  <c r="L212" i="2"/>
  <c r="K212" i="2"/>
  <c r="K212" i="2" a="1"/>
  <c r="J212" i="2"/>
  <c r="I212" i="2"/>
  <c r="L211" i="2"/>
  <c r="K211" i="2"/>
  <c r="K211" i="2" a="1"/>
  <c r="J211" i="2"/>
  <c r="I211" i="2"/>
  <c r="L210" i="2"/>
  <c r="K210" i="2"/>
  <c r="K210" i="2" a="1"/>
  <c r="J210" i="2"/>
  <c r="I210" i="2"/>
  <c r="L209" i="2"/>
  <c r="K209" i="2"/>
  <c r="K209" i="2" a="1"/>
  <c r="J209" i="2"/>
  <c r="I209" i="2"/>
  <c r="L208" i="2"/>
  <c r="K208" i="2"/>
  <c r="K208" i="2" a="1"/>
  <c r="J208" i="2"/>
  <c r="I208" i="2"/>
  <c r="L207" i="2"/>
  <c r="K207" i="2"/>
  <c r="K207" i="2" a="1"/>
  <c r="J207" i="2"/>
  <c r="I207" i="2"/>
  <c r="L206" i="2"/>
  <c r="K206" i="2"/>
  <c r="K206" i="2" a="1"/>
  <c r="J206" i="2"/>
  <c r="I206" i="2"/>
  <c r="L205" i="2"/>
  <c r="K205" i="2"/>
  <c r="K205" i="2" a="1"/>
  <c r="J205" i="2"/>
  <c r="I205" i="2"/>
  <c r="L204" i="2"/>
  <c r="K204" i="2"/>
  <c r="K204" i="2" a="1"/>
  <c r="J204" i="2"/>
  <c r="I204" i="2"/>
  <c r="L203" i="2"/>
  <c r="K203" i="2"/>
  <c r="K203" i="2" a="1"/>
  <c r="J203" i="2"/>
  <c r="I203" i="2"/>
  <c r="L202" i="2"/>
  <c r="K202" i="2"/>
  <c r="K202" i="2" a="1"/>
  <c r="J202" i="2"/>
  <c r="I202" i="2"/>
  <c r="L201" i="2"/>
  <c r="K201" i="2"/>
  <c r="K201" i="2" a="1"/>
  <c r="J201" i="2"/>
  <c r="I201" i="2"/>
  <c r="L200" i="2"/>
  <c r="K200" i="2"/>
  <c r="K200" i="2" a="1"/>
  <c r="J200" i="2"/>
  <c r="I200" i="2"/>
  <c r="L199" i="2"/>
  <c r="K199" i="2"/>
  <c r="K199" i="2" a="1"/>
  <c r="J199" i="2"/>
  <c r="I199" i="2"/>
  <c r="L198" i="2"/>
  <c r="K198" i="2"/>
  <c r="K198" i="2" a="1"/>
  <c r="J198" i="2"/>
  <c r="I198" i="2"/>
  <c r="L197" i="2"/>
  <c r="K197" i="2"/>
  <c r="K197" i="2" a="1"/>
  <c r="J197" i="2"/>
  <c r="I197" i="2"/>
  <c r="L196" i="2"/>
  <c r="K196" i="2"/>
  <c r="K196" i="2" a="1"/>
  <c r="J196" i="2"/>
  <c r="I196" i="2"/>
  <c r="L195" i="2"/>
  <c r="K195" i="2"/>
  <c r="K195" i="2" a="1"/>
  <c r="J195" i="2"/>
  <c r="I195" i="2"/>
  <c r="L194" i="2"/>
  <c r="K194" i="2"/>
  <c r="K194" i="2" a="1"/>
  <c r="J194" i="2"/>
  <c r="I194" i="2"/>
  <c r="L193" i="2"/>
  <c r="K193" i="2"/>
  <c r="K193" i="2" a="1"/>
  <c r="J193" i="2"/>
  <c r="I193" i="2"/>
  <c r="L192" i="2"/>
  <c r="K192" i="2"/>
  <c r="K192" i="2" a="1"/>
  <c r="J192" i="2"/>
  <c r="I192" i="2"/>
  <c r="L191" i="2"/>
  <c r="K191" i="2"/>
  <c r="K191" i="2" a="1"/>
  <c r="J191" i="2"/>
  <c r="I191" i="2"/>
  <c r="L190" i="2"/>
  <c r="K190" i="2"/>
  <c r="K190" i="2" a="1"/>
  <c r="J190" i="2"/>
  <c r="I190" i="2"/>
  <c r="L189" i="2"/>
  <c r="K189" i="2"/>
  <c r="K189" i="2" a="1"/>
  <c r="J189" i="2"/>
  <c r="I189" i="2"/>
  <c r="L188" i="2"/>
  <c r="K188" i="2"/>
  <c r="K188" i="2" a="1"/>
  <c r="J188" i="2"/>
  <c r="I188" i="2"/>
  <c r="L187" i="2"/>
  <c r="K187" i="2"/>
  <c r="K187" i="2" a="1"/>
  <c r="J187" i="2"/>
  <c r="I187" i="2"/>
  <c r="L186" i="2"/>
  <c r="K186" i="2"/>
  <c r="K186" i="2" a="1"/>
  <c r="J186" i="2"/>
  <c r="I186" i="2"/>
  <c r="L185" i="2"/>
  <c r="K185" i="2"/>
  <c r="K185" i="2" a="1"/>
  <c r="J185" i="2"/>
  <c r="I185" i="2"/>
  <c r="L184" i="2"/>
  <c r="K184" i="2"/>
  <c r="K184" i="2" a="1"/>
  <c r="J184" i="2"/>
  <c r="I184" i="2"/>
  <c r="L183" i="2"/>
  <c r="K183" i="2"/>
  <c r="K183" i="2" a="1"/>
  <c r="J183" i="2"/>
  <c r="I183" i="2"/>
  <c r="L182" i="2"/>
  <c r="K182" i="2"/>
  <c r="K182" i="2" a="1"/>
  <c r="J182" i="2"/>
  <c r="I182" i="2"/>
  <c r="L181" i="2"/>
  <c r="K181" i="2"/>
  <c r="K181" i="2" a="1"/>
  <c r="J181" i="2"/>
  <c r="I181" i="2"/>
  <c r="L180" i="2"/>
  <c r="K180" i="2"/>
  <c r="K180" i="2" a="1"/>
  <c r="J180" i="2"/>
  <c r="I180" i="2"/>
  <c r="L179" i="2"/>
  <c r="K179" i="2"/>
  <c r="K179" i="2" a="1"/>
  <c r="J179" i="2"/>
  <c r="I179" i="2"/>
  <c r="L178" i="2"/>
  <c r="K178" i="2"/>
  <c r="K178" i="2" a="1"/>
  <c r="J178" i="2"/>
  <c r="I178" i="2"/>
  <c r="L177" i="2"/>
  <c r="K177" i="2"/>
  <c r="K177" i="2" a="1"/>
  <c r="J177" i="2"/>
  <c r="I177" i="2"/>
  <c r="L176" i="2"/>
  <c r="K176" i="2"/>
  <c r="K176" i="2" a="1"/>
  <c r="J176" i="2"/>
  <c r="I176" i="2"/>
  <c r="L175" i="2"/>
  <c r="K175" i="2"/>
  <c r="K175" i="2" a="1"/>
  <c r="J175" i="2"/>
  <c r="I175" i="2"/>
  <c r="L174" i="2"/>
  <c r="K174" i="2"/>
  <c r="K174" i="2" a="1"/>
  <c r="J174" i="2"/>
  <c r="I174" i="2"/>
  <c r="L173" i="2"/>
  <c r="K173" i="2"/>
  <c r="K173" i="2" a="1"/>
  <c r="J173" i="2"/>
  <c r="I173" i="2"/>
  <c r="L172" i="2"/>
  <c r="K172" i="2"/>
  <c r="K172" i="2" a="1"/>
  <c r="J172" i="2"/>
  <c r="I172" i="2"/>
  <c r="L171" i="2"/>
  <c r="K171" i="2"/>
  <c r="K171" i="2" a="1"/>
  <c r="J171" i="2"/>
  <c r="I171" i="2"/>
  <c r="L170" i="2"/>
  <c r="K170" i="2"/>
  <c r="K170" i="2" a="1"/>
  <c r="J170" i="2"/>
  <c r="I170" i="2"/>
  <c r="L169" i="2"/>
  <c r="K169" i="2"/>
  <c r="K169" i="2" a="1"/>
  <c r="J169" i="2"/>
  <c r="I169" i="2"/>
  <c r="L168" i="2"/>
  <c r="K168" i="2"/>
  <c r="K168" i="2" a="1"/>
  <c r="J168" i="2"/>
  <c r="I168" i="2"/>
  <c r="L167" i="2"/>
  <c r="K167" i="2"/>
  <c r="K167" i="2" a="1"/>
  <c r="J167" i="2"/>
  <c r="I167" i="2"/>
  <c r="L166" i="2"/>
  <c r="K166" i="2"/>
  <c r="K166" i="2" a="1"/>
  <c r="J166" i="2"/>
  <c r="I166" i="2"/>
  <c r="L165" i="2"/>
  <c r="K165" i="2"/>
  <c r="K165" i="2" a="1"/>
  <c r="J165" i="2"/>
  <c r="I165" i="2"/>
  <c r="L164" i="2"/>
  <c r="K164" i="2"/>
  <c r="K164" i="2" a="1"/>
  <c r="J164" i="2"/>
  <c r="I164" i="2"/>
  <c r="L163" i="2"/>
  <c r="K163" i="2"/>
  <c r="K163" i="2" a="1"/>
  <c r="J163" i="2"/>
  <c r="I163" i="2"/>
  <c r="L162" i="2"/>
  <c r="K162" i="2"/>
  <c r="K162" i="2" a="1"/>
  <c r="J162" i="2"/>
  <c r="I162" i="2"/>
  <c r="L161" i="2"/>
  <c r="K161" i="2"/>
  <c r="K161" i="2" a="1"/>
  <c r="J161" i="2"/>
  <c r="I161" i="2"/>
  <c r="L160" i="2"/>
  <c r="K160" i="2"/>
  <c r="K160" i="2" a="1"/>
  <c r="J160" i="2"/>
  <c r="I160" i="2"/>
  <c r="L159" i="2"/>
  <c r="K159" i="2"/>
  <c r="K159" i="2" a="1"/>
  <c r="J159" i="2"/>
  <c r="I159" i="2"/>
  <c r="L158" i="2"/>
  <c r="K158" i="2"/>
  <c r="K158" i="2" a="1"/>
  <c r="J158" i="2"/>
  <c r="I158" i="2"/>
  <c r="L157" i="2"/>
  <c r="K157" i="2"/>
  <c r="K157" i="2" a="1"/>
  <c r="J157" i="2"/>
  <c r="I157" i="2"/>
  <c r="L156" i="2"/>
  <c r="K156" i="2"/>
  <c r="K156" i="2" a="1"/>
  <c r="J156" i="2"/>
  <c r="I156" i="2"/>
  <c r="L155" i="2"/>
  <c r="K155" i="2"/>
  <c r="K155" i="2" a="1"/>
  <c r="J155" i="2"/>
  <c r="I155" i="2"/>
  <c r="L154" i="2"/>
  <c r="K154" i="2"/>
  <c r="K154" i="2" a="1"/>
  <c r="J154" i="2"/>
  <c r="I154" i="2"/>
  <c r="L153" i="2"/>
  <c r="K153" i="2"/>
  <c r="K153" i="2" a="1"/>
  <c r="J153" i="2"/>
  <c r="I153" i="2"/>
  <c r="L152" i="2"/>
  <c r="K152" i="2"/>
  <c r="K152" i="2" a="1"/>
  <c r="J152" i="2"/>
  <c r="I152" i="2"/>
  <c r="L151" i="2"/>
  <c r="K151" i="2"/>
  <c r="K151" i="2" a="1"/>
  <c r="J151" i="2"/>
  <c r="I151" i="2"/>
  <c r="L150" i="2"/>
  <c r="K150" i="2"/>
  <c r="K150" i="2" a="1"/>
  <c r="J150" i="2"/>
  <c r="I150" i="2"/>
  <c r="L149" i="2"/>
  <c r="K149" i="2"/>
  <c r="K149" i="2" a="1"/>
  <c r="J149" i="2"/>
  <c r="I149" i="2"/>
  <c r="L148" i="2"/>
  <c r="K148" i="2"/>
  <c r="K148" i="2" a="1"/>
  <c r="J148" i="2"/>
  <c r="I148" i="2"/>
  <c r="L147" i="2"/>
  <c r="K147" i="2"/>
  <c r="K147" i="2" a="1"/>
  <c r="J147" i="2"/>
  <c r="I147" i="2"/>
  <c r="L146" i="2"/>
  <c r="K146" i="2"/>
  <c r="K146" i="2" a="1"/>
  <c r="J146" i="2"/>
  <c r="I146" i="2"/>
  <c r="L145" i="2"/>
  <c r="K145" i="2"/>
  <c r="K145" i="2" a="1"/>
  <c r="J145" i="2"/>
  <c r="I145" i="2"/>
  <c r="L144" i="2"/>
  <c r="K144" i="2"/>
  <c r="K144" i="2" a="1"/>
  <c r="J144" i="2"/>
  <c r="I144" i="2"/>
  <c r="L143" i="2"/>
  <c r="K143" i="2"/>
  <c r="K143" i="2" a="1"/>
  <c r="J143" i="2"/>
  <c r="I143" i="2"/>
  <c r="L142" i="2"/>
  <c r="K142" i="2"/>
  <c r="K142" i="2" a="1"/>
  <c r="J142" i="2"/>
  <c r="I142" i="2"/>
  <c r="L141" i="2"/>
  <c r="K141" i="2"/>
  <c r="K141" i="2" a="1"/>
  <c r="J141" i="2"/>
  <c r="I141" i="2"/>
  <c r="L140" i="2"/>
  <c r="K140" i="2"/>
  <c r="K140" i="2" a="1"/>
  <c r="J140" i="2"/>
  <c r="I140" i="2"/>
  <c r="L139" i="2"/>
  <c r="K139" i="2"/>
  <c r="K139" i="2" a="1"/>
  <c r="J139" i="2"/>
  <c r="I139" i="2"/>
  <c r="L138" i="2"/>
  <c r="K138" i="2"/>
  <c r="K138" i="2" a="1"/>
  <c r="J138" i="2"/>
  <c r="I138" i="2"/>
  <c r="L137" i="2"/>
  <c r="K137" i="2"/>
  <c r="K137" i="2" a="1"/>
  <c r="J137" i="2"/>
  <c r="I137" i="2"/>
  <c r="L136" i="2"/>
  <c r="K136" i="2"/>
  <c r="K136" i="2" a="1"/>
  <c r="J136" i="2"/>
  <c r="I136" i="2"/>
  <c r="L135" i="2"/>
  <c r="K135" i="2"/>
  <c r="K135" i="2" a="1"/>
  <c r="J135" i="2"/>
  <c r="I135" i="2"/>
  <c r="L134" i="2"/>
  <c r="K134" i="2"/>
  <c r="K134" i="2" a="1"/>
  <c r="J134" i="2"/>
  <c r="I134" i="2"/>
  <c r="L133" i="2"/>
  <c r="K133" i="2"/>
  <c r="K133" i="2" a="1"/>
  <c r="J133" i="2"/>
  <c r="I133" i="2"/>
  <c r="L132" i="2"/>
  <c r="K132" i="2"/>
  <c r="K132" i="2" a="1"/>
  <c r="J132" i="2"/>
  <c r="I132" i="2"/>
  <c r="L131" i="2"/>
  <c r="K131" i="2"/>
  <c r="K131" i="2" a="1"/>
  <c r="J131" i="2"/>
  <c r="I131" i="2"/>
  <c r="L130" i="2"/>
  <c r="K130" i="2"/>
  <c r="K130" i="2" a="1"/>
  <c r="J130" i="2"/>
  <c r="I130" i="2"/>
  <c r="L129" i="2"/>
  <c r="K129" i="2"/>
  <c r="K129" i="2" a="1"/>
  <c r="J129" i="2"/>
  <c r="I129" i="2"/>
  <c r="L128" i="2"/>
  <c r="K128" i="2"/>
  <c r="K128" i="2" a="1"/>
  <c r="J128" i="2"/>
  <c r="I128" i="2"/>
  <c r="L127" i="2"/>
  <c r="K127" i="2"/>
  <c r="K127" i="2" a="1"/>
  <c r="J127" i="2"/>
  <c r="I127" i="2"/>
  <c r="L126" i="2"/>
  <c r="K126" i="2"/>
  <c r="K126" i="2" a="1"/>
  <c r="J126" i="2"/>
  <c r="I126" i="2"/>
  <c r="L125" i="2"/>
  <c r="K125" i="2"/>
  <c r="K125" i="2" a="1"/>
  <c r="J125" i="2"/>
  <c r="I125" i="2"/>
  <c r="L124" i="2"/>
  <c r="K124" i="2"/>
  <c r="K124" i="2" a="1"/>
  <c r="J124" i="2"/>
  <c r="I124" i="2"/>
  <c r="L123" i="2"/>
  <c r="K123" i="2"/>
  <c r="K123" i="2" a="1"/>
  <c r="J123" i="2"/>
  <c r="I123" i="2"/>
  <c r="L122" i="2"/>
  <c r="K122" i="2"/>
  <c r="K122" i="2" a="1"/>
  <c r="J122" i="2"/>
  <c r="I122" i="2"/>
  <c r="L121" i="2"/>
  <c r="K121" i="2"/>
  <c r="K121" i="2" a="1"/>
  <c r="J121" i="2"/>
  <c r="I121" i="2"/>
  <c r="L120" i="2"/>
  <c r="K120" i="2"/>
  <c r="K120" i="2" a="1"/>
  <c r="J120" i="2"/>
  <c r="I120" i="2"/>
  <c r="L119" i="2"/>
  <c r="K119" i="2"/>
  <c r="K119" i="2" a="1"/>
  <c r="J119" i="2"/>
  <c r="I119" i="2"/>
  <c r="L118" i="2"/>
  <c r="K118" i="2"/>
  <c r="K118" i="2" a="1"/>
  <c r="J118" i="2"/>
  <c r="I118" i="2"/>
  <c r="L117" i="2"/>
  <c r="K117" i="2"/>
  <c r="K117" i="2" a="1"/>
  <c r="J117" i="2"/>
  <c r="I117" i="2"/>
  <c r="L116" i="2"/>
  <c r="K116" i="2"/>
  <c r="K116" i="2" a="1"/>
  <c r="J116" i="2"/>
  <c r="I116" i="2"/>
  <c r="L115" i="2"/>
  <c r="K115" i="2"/>
  <c r="K115" i="2" a="1"/>
  <c r="J115" i="2"/>
  <c r="I115" i="2"/>
  <c r="L114" i="2"/>
  <c r="K114" i="2"/>
  <c r="K114" i="2" a="1"/>
  <c r="J114" i="2"/>
  <c r="I114" i="2"/>
  <c r="L113" i="2"/>
  <c r="K113" i="2"/>
  <c r="K113" i="2" a="1"/>
  <c r="J113" i="2"/>
  <c r="I113" i="2"/>
  <c r="L112" i="2"/>
  <c r="K112" i="2"/>
  <c r="K112" i="2" a="1"/>
  <c r="J112" i="2"/>
  <c r="I112" i="2"/>
  <c r="L111" i="2"/>
  <c r="K111" i="2"/>
  <c r="K111" i="2" a="1"/>
  <c r="J111" i="2"/>
  <c r="I111" i="2"/>
  <c r="L110" i="2"/>
  <c r="K110" i="2"/>
  <c r="K110" i="2" a="1"/>
  <c r="J110" i="2"/>
  <c r="I110" i="2"/>
  <c r="L109" i="2"/>
  <c r="K109" i="2"/>
  <c r="K109" i="2" a="1"/>
  <c r="J109" i="2"/>
  <c r="I109" i="2"/>
  <c r="L108" i="2"/>
  <c r="K108" i="2"/>
  <c r="K108" i="2" a="1"/>
  <c r="J108" i="2"/>
  <c r="I108" i="2"/>
  <c r="L107" i="2"/>
  <c r="K107" i="2"/>
  <c r="K107" i="2" a="1"/>
  <c r="J107" i="2"/>
  <c r="I107" i="2"/>
  <c r="L106" i="2"/>
  <c r="K106" i="2"/>
  <c r="K106" i="2" a="1"/>
  <c r="J106" i="2"/>
  <c r="I106" i="2"/>
  <c r="L105" i="2"/>
  <c r="K105" i="2"/>
  <c r="K105" i="2" a="1"/>
  <c r="J105" i="2"/>
  <c r="I105" i="2"/>
  <c r="L104" i="2"/>
  <c r="K104" i="2"/>
  <c r="K104" i="2" a="1"/>
  <c r="J104" i="2"/>
  <c r="I104" i="2"/>
  <c r="L103" i="2"/>
  <c r="K103" i="2"/>
  <c r="K103" i="2" a="1"/>
  <c r="J103" i="2"/>
  <c r="I103" i="2"/>
  <c r="L102" i="2"/>
  <c r="K102" i="2"/>
  <c r="K102" i="2" a="1"/>
  <c r="J102" i="2"/>
  <c r="I102" i="2"/>
  <c r="L101" i="2"/>
  <c r="K101" i="2"/>
  <c r="K101" i="2" a="1"/>
  <c r="J101" i="2"/>
  <c r="I101" i="2"/>
  <c r="L100" i="2"/>
  <c r="K100" i="2"/>
  <c r="K100" i="2" a="1"/>
  <c r="J100" i="2"/>
  <c r="I100" i="2"/>
  <c r="L99" i="2"/>
  <c r="K99" i="2"/>
  <c r="K99" i="2" a="1"/>
  <c r="J99" i="2"/>
  <c r="I99" i="2"/>
  <c r="L98" i="2"/>
  <c r="K98" i="2"/>
  <c r="K98" i="2" a="1"/>
  <c r="J98" i="2"/>
  <c r="I98" i="2"/>
  <c r="L97" i="2"/>
  <c r="K97" i="2"/>
  <c r="K97" i="2" a="1"/>
  <c r="J97" i="2"/>
  <c r="I97" i="2"/>
  <c r="L96" i="2"/>
  <c r="K96" i="2"/>
  <c r="K96" i="2" a="1"/>
  <c r="J96" i="2"/>
  <c r="I96" i="2"/>
  <c r="L95" i="2"/>
  <c r="K95" i="2"/>
  <c r="K95" i="2" a="1"/>
  <c r="J95" i="2"/>
  <c r="I95" i="2"/>
  <c r="L94" i="2"/>
  <c r="K94" i="2"/>
  <c r="K94" i="2" a="1"/>
  <c r="J94" i="2"/>
  <c r="I94" i="2"/>
  <c r="L93" i="2"/>
  <c r="K93" i="2"/>
  <c r="K93" i="2" a="1"/>
  <c r="J93" i="2"/>
  <c r="I93" i="2"/>
  <c r="L92" i="2"/>
  <c r="K92" i="2"/>
  <c r="K92" i="2" a="1"/>
  <c r="J92" i="2"/>
  <c r="I92" i="2"/>
  <c r="L91" i="2"/>
  <c r="K91" i="2"/>
  <c r="K91" i="2" a="1"/>
  <c r="J91" i="2"/>
  <c r="I91" i="2"/>
  <c r="L90" i="2"/>
  <c r="K90" i="2"/>
  <c r="K90" i="2" a="1"/>
  <c r="J90" i="2"/>
  <c r="I90" i="2"/>
  <c r="L89" i="2"/>
  <c r="K89" i="2"/>
  <c r="K89" i="2" a="1"/>
  <c r="J89" i="2"/>
  <c r="I89" i="2"/>
  <c r="L88" i="2"/>
  <c r="K88" i="2"/>
  <c r="K88" i="2" a="1"/>
  <c r="J88" i="2"/>
  <c r="I88" i="2"/>
  <c r="L87" i="2"/>
  <c r="K87" i="2"/>
  <c r="K87" i="2" a="1"/>
  <c r="J87" i="2"/>
  <c r="I87" i="2"/>
  <c r="L86" i="2"/>
  <c r="K86" i="2"/>
  <c r="K86" i="2" a="1"/>
  <c r="J86" i="2"/>
  <c r="I86" i="2"/>
  <c r="L85" i="2"/>
  <c r="K85" i="2"/>
  <c r="K85" i="2" a="1"/>
  <c r="J85" i="2"/>
  <c r="I85" i="2"/>
  <c r="L84" i="2"/>
  <c r="K84" i="2"/>
  <c r="K84" i="2" a="1"/>
  <c r="J84" i="2"/>
  <c r="I84" i="2"/>
  <c r="L83" i="2"/>
  <c r="K83" i="2"/>
  <c r="K83" i="2" a="1"/>
  <c r="J83" i="2"/>
  <c r="I83" i="2"/>
  <c r="L82" i="2"/>
  <c r="K82" i="2"/>
  <c r="K82" i="2" a="1"/>
  <c r="J82" i="2"/>
  <c r="I82" i="2"/>
  <c r="L81" i="2"/>
  <c r="K81" i="2"/>
  <c r="K81" i="2" a="1"/>
  <c r="J81" i="2"/>
  <c r="I81" i="2"/>
  <c r="L80" i="2"/>
  <c r="K80" i="2"/>
  <c r="K80" i="2" a="1"/>
  <c r="J80" i="2"/>
  <c r="I80" i="2"/>
  <c r="L79" i="2"/>
  <c r="K79" i="2"/>
  <c r="K79" i="2" a="1"/>
  <c r="J79" i="2"/>
  <c r="I79" i="2"/>
  <c r="L78" i="2"/>
  <c r="K78" i="2"/>
  <c r="K78" i="2" a="1"/>
  <c r="J78" i="2"/>
  <c r="I78" i="2"/>
  <c r="L77" i="2"/>
  <c r="K77" i="2"/>
  <c r="K77" i="2" a="1"/>
  <c r="J77" i="2"/>
  <c r="I77" i="2"/>
  <c r="L76" i="2"/>
  <c r="K76" i="2"/>
  <c r="K76" i="2" a="1"/>
  <c r="J76" i="2"/>
  <c r="I76" i="2"/>
  <c r="L75" i="2"/>
  <c r="K75" i="2"/>
  <c r="K75" i="2" a="1"/>
  <c r="J75" i="2"/>
  <c r="I75" i="2"/>
  <c r="L74" i="2"/>
  <c r="K74" i="2"/>
  <c r="K74" i="2" a="1"/>
  <c r="J74" i="2"/>
  <c r="I74" i="2"/>
  <c r="L73" i="2"/>
  <c r="K73" i="2"/>
  <c r="K73" i="2" a="1"/>
  <c r="J73" i="2"/>
  <c r="I73" i="2"/>
  <c r="L72" i="2"/>
  <c r="K72" i="2"/>
  <c r="K72" i="2" a="1"/>
  <c r="J72" i="2"/>
  <c r="I72" i="2"/>
  <c r="L71" i="2"/>
  <c r="K71" i="2"/>
  <c r="K71" i="2" a="1"/>
  <c r="J71" i="2"/>
  <c r="I71" i="2"/>
  <c r="L70" i="2"/>
  <c r="K70" i="2"/>
  <c r="K70" i="2" a="1"/>
  <c r="J70" i="2"/>
  <c r="I70" i="2"/>
  <c r="L69" i="2"/>
  <c r="K69" i="2"/>
  <c r="K69" i="2" a="1"/>
  <c r="J69" i="2"/>
  <c r="I69" i="2"/>
  <c r="L68" i="2"/>
  <c r="K68" i="2"/>
  <c r="K68" i="2" a="1"/>
  <c r="J68" i="2"/>
  <c r="I68" i="2"/>
  <c r="L67" i="2"/>
  <c r="K67" i="2"/>
  <c r="K67" i="2" a="1"/>
  <c r="J67" i="2"/>
  <c r="I67" i="2"/>
  <c r="L66" i="2"/>
  <c r="K66" i="2"/>
  <c r="K66" i="2" a="1"/>
  <c r="J66" i="2"/>
  <c r="I66" i="2"/>
  <c r="L65" i="2"/>
  <c r="K65" i="2"/>
  <c r="K65" i="2" a="1"/>
  <c r="J65" i="2"/>
  <c r="I65" i="2"/>
  <c r="L64" i="2"/>
  <c r="K64" i="2"/>
  <c r="K64" i="2" a="1"/>
  <c r="J64" i="2"/>
  <c r="I64" i="2"/>
  <c r="L63" i="2"/>
  <c r="K63" i="2"/>
  <c r="K63" i="2" a="1"/>
  <c r="J63" i="2"/>
  <c r="I63" i="2"/>
  <c r="L62" i="2"/>
  <c r="K62" i="2"/>
  <c r="K62" i="2" a="1"/>
  <c r="J62" i="2"/>
  <c r="I62" i="2"/>
  <c r="L61" i="2"/>
  <c r="K61" i="2"/>
  <c r="K61" i="2" a="1"/>
  <c r="J61" i="2"/>
  <c r="I61" i="2"/>
  <c r="L60" i="2"/>
  <c r="K60" i="2"/>
  <c r="K60" i="2" a="1"/>
  <c r="J60" i="2"/>
  <c r="I60" i="2"/>
  <c r="L59" i="2"/>
  <c r="K59" i="2"/>
  <c r="K59" i="2" a="1"/>
  <c r="J59" i="2"/>
  <c r="I59" i="2"/>
  <c r="L58" i="2"/>
  <c r="K58" i="2"/>
  <c r="K58" i="2" a="1"/>
  <c r="J58" i="2"/>
  <c r="I58" i="2"/>
  <c r="L57" i="2"/>
  <c r="K57" i="2"/>
  <c r="K57" i="2" a="1"/>
  <c r="J57" i="2"/>
  <c r="I57" i="2"/>
  <c r="L56" i="2"/>
  <c r="K56" i="2"/>
  <c r="K56" i="2" a="1"/>
  <c r="J56" i="2"/>
  <c r="I56" i="2"/>
  <c r="L55" i="2"/>
  <c r="K55" i="2"/>
  <c r="K55" i="2" a="1"/>
  <c r="J55" i="2"/>
  <c r="I55" i="2"/>
  <c r="L54" i="2"/>
  <c r="K54" i="2"/>
  <c r="K54" i="2" a="1"/>
  <c r="J54" i="2"/>
  <c r="I54" i="2"/>
  <c r="L53" i="2"/>
  <c r="K53" i="2"/>
  <c r="K53" i="2" a="1"/>
  <c r="J53" i="2"/>
  <c r="I53" i="2"/>
  <c r="L52" i="2"/>
  <c r="K52" i="2"/>
  <c r="K52" i="2" a="1"/>
  <c r="J52" i="2"/>
  <c r="I52" i="2"/>
  <c r="L51" i="2"/>
  <c r="K51" i="2"/>
  <c r="K51" i="2" a="1"/>
  <c r="J51" i="2"/>
  <c r="I51" i="2"/>
  <c r="L50" i="2"/>
  <c r="K50" i="2"/>
  <c r="K50" i="2" a="1"/>
  <c r="J50" i="2"/>
  <c r="I50" i="2"/>
  <c r="L49" i="2"/>
  <c r="K49" i="2"/>
  <c r="K49" i="2" a="1"/>
  <c r="J49" i="2"/>
  <c r="I49" i="2"/>
  <c r="L48" i="2"/>
  <c r="K48" i="2"/>
  <c r="K48" i="2" a="1"/>
  <c r="J48" i="2"/>
  <c r="I48" i="2"/>
  <c r="L47" i="2"/>
  <c r="K47" i="2"/>
  <c r="K47" i="2" a="1"/>
  <c r="J47" i="2"/>
  <c r="I47" i="2"/>
  <c r="L46" i="2"/>
  <c r="K46" i="2"/>
  <c r="K46" i="2" a="1"/>
  <c r="J46" i="2"/>
  <c r="I46" i="2"/>
  <c r="L45" i="2"/>
  <c r="K45" i="2"/>
  <c r="K45" i="2" a="1"/>
  <c r="J45" i="2"/>
  <c r="I45" i="2"/>
  <c r="L44" i="2"/>
  <c r="K44" i="2"/>
  <c r="K44" i="2" a="1"/>
  <c r="J44" i="2"/>
  <c r="I44" i="2"/>
  <c r="L43" i="2"/>
  <c r="K43" i="2"/>
  <c r="K43" i="2" a="1"/>
  <c r="J43" i="2"/>
  <c r="I43" i="2"/>
  <c r="L42" i="2"/>
  <c r="K42" i="2"/>
  <c r="K42" i="2" a="1"/>
  <c r="J42" i="2"/>
  <c r="I42" i="2"/>
  <c r="L41" i="2"/>
  <c r="K41" i="2"/>
  <c r="K41" i="2" a="1"/>
  <c r="J41" i="2"/>
  <c r="I41" i="2"/>
  <c r="L40" i="2"/>
  <c r="K40" i="2"/>
  <c r="K40" i="2" a="1"/>
  <c r="J40" i="2"/>
  <c r="I40" i="2"/>
  <c r="L39" i="2"/>
  <c r="K39" i="2"/>
  <c r="K39" i="2" a="1"/>
  <c r="J39" i="2"/>
  <c r="I39" i="2"/>
  <c r="L38" i="2"/>
  <c r="K38" i="2"/>
  <c r="K38" i="2" a="1"/>
  <c r="J38" i="2"/>
  <c r="I38" i="2"/>
  <c r="L37" i="2"/>
  <c r="K37" i="2"/>
  <c r="K37" i="2" a="1"/>
  <c r="J37" i="2"/>
  <c r="I37" i="2"/>
  <c r="L36" i="2"/>
  <c r="K36" i="2"/>
  <c r="K36" i="2" a="1"/>
  <c r="J36" i="2"/>
  <c r="I36" i="2"/>
  <c r="L35" i="2"/>
  <c r="K35" i="2"/>
  <c r="K35" i="2" a="1"/>
  <c r="J35" i="2"/>
  <c r="I35" i="2"/>
  <c r="L34" i="2"/>
  <c r="K34" i="2"/>
  <c r="K34" i="2" a="1"/>
  <c r="J34" i="2"/>
  <c r="I34" i="2"/>
  <c r="L33" i="2"/>
  <c r="K33" i="2"/>
  <c r="K33" i="2" a="1"/>
  <c r="J33" i="2"/>
  <c r="I33" i="2"/>
  <c r="L32" i="2"/>
  <c r="K32" i="2"/>
  <c r="K32" i="2" a="1"/>
  <c r="J32" i="2"/>
  <c r="I32" i="2"/>
  <c r="L31" i="2"/>
  <c r="K31" i="2"/>
  <c r="K31" i="2" a="1"/>
  <c r="J31" i="2"/>
  <c r="I31" i="2"/>
  <c r="L30" i="2"/>
  <c r="K30" i="2"/>
  <c r="K30" i="2" a="1"/>
  <c r="J30" i="2"/>
  <c r="I30" i="2"/>
  <c r="L29" i="2"/>
  <c r="K29" i="2"/>
  <c r="K29" i="2" a="1"/>
  <c r="J29" i="2"/>
  <c r="I29" i="2"/>
  <c r="L28" i="2"/>
  <c r="K28" i="2"/>
  <c r="K28" i="2" a="1"/>
  <c r="J28" i="2"/>
  <c r="I28" i="2"/>
  <c r="L27" i="2"/>
  <c r="K27" i="2"/>
  <c r="K27" i="2" a="1"/>
  <c r="J27" i="2"/>
  <c r="I27" i="2"/>
  <c r="L26" i="2"/>
  <c r="K26" i="2"/>
  <c r="K26" i="2" a="1"/>
  <c r="J26" i="2"/>
  <c r="I26" i="2"/>
  <c r="L25" i="2"/>
  <c r="K25" i="2"/>
  <c r="K25" i="2" a="1"/>
  <c r="J25" i="2"/>
  <c r="I25" i="2"/>
  <c r="L24" i="2"/>
  <c r="K24" i="2"/>
  <c r="K24" i="2" a="1"/>
  <c r="J24" i="2"/>
  <c r="I24" i="2"/>
  <c r="L23" i="2"/>
  <c r="K23" i="2"/>
  <c r="K23" i="2" a="1"/>
  <c r="J23" i="2"/>
  <c r="I23" i="2"/>
  <c r="L22" i="2"/>
  <c r="K22" i="2"/>
  <c r="K22" i="2" a="1"/>
  <c r="J22" i="2"/>
  <c r="I22" i="2"/>
  <c r="L21" i="2"/>
  <c r="K21" i="2"/>
  <c r="K21" i="2" a="1"/>
  <c r="J21" i="2"/>
  <c r="I21" i="2"/>
  <c r="L20" i="2"/>
  <c r="K20" i="2"/>
  <c r="K20" i="2" a="1"/>
  <c r="J20" i="2"/>
  <c r="I20" i="2"/>
  <c r="L19" i="2"/>
  <c r="K19" i="2"/>
  <c r="K19" i="2" a="1"/>
  <c r="J19" i="2"/>
  <c r="I19" i="2"/>
  <c r="L18" i="2"/>
  <c r="K18" i="2"/>
  <c r="K18" i="2" a="1"/>
  <c r="J18" i="2"/>
  <c r="I18" i="2"/>
  <c r="L17" i="2"/>
  <c r="K17" i="2"/>
  <c r="K17" i="2" a="1"/>
  <c r="J17" i="2"/>
  <c r="I17" i="2"/>
  <c r="L16" i="2"/>
  <c r="K16" i="2"/>
  <c r="K16" i="2" a="1"/>
  <c r="J16" i="2"/>
  <c r="I16" i="2"/>
  <c r="L15" i="2"/>
  <c r="K15" i="2"/>
  <c r="K15" i="2" a="1"/>
  <c r="J15" i="2"/>
  <c r="I15" i="2"/>
  <c r="L14" i="2"/>
  <c r="K14" i="2"/>
  <c r="K14" i="2" a="1"/>
  <c r="J14" i="2"/>
  <c r="I14" i="2"/>
  <c r="L13" i="2"/>
  <c r="K13" i="2"/>
  <c r="K13" i="2" a="1"/>
  <c r="J13" i="2"/>
  <c r="I13" i="2"/>
  <c r="L12" i="2"/>
  <c r="K12" i="2"/>
  <c r="K12" i="2" a="1"/>
  <c r="J12" i="2"/>
  <c r="I12" i="2"/>
  <c r="L11" i="2"/>
  <c r="K11" i="2"/>
  <c r="K11" i="2" a="1"/>
  <c r="J11" i="2"/>
  <c r="I11" i="2"/>
  <c r="L10" i="2"/>
  <c r="K10" i="2"/>
  <c r="K10" i="2" a="1"/>
  <c r="J10" i="2"/>
  <c r="I10" i="2"/>
  <c r="L9" i="2"/>
  <c r="K9" i="2"/>
  <c r="K9" i="2" a="1"/>
  <c r="J9" i="2"/>
  <c r="I9" i="2"/>
  <c r="L8" i="2"/>
  <c r="K8" i="2"/>
  <c r="K8" i="2" a="1"/>
  <c r="J8" i="2"/>
  <c r="I8" i="2"/>
  <c r="L7" i="2"/>
  <c r="K7" i="2"/>
  <c r="K7" i="2" a="1"/>
  <c r="J7" i="2"/>
  <c r="I7" i="2"/>
  <c r="L6" i="2"/>
  <c r="K6" i="2"/>
  <c r="K6" i="2" a="1"/>
  <c r="J6" i="2"/>
  <c r="I6" i="2"/>
  <c r="L5" i="2"/>
  <c r="K5" i="2"/>
  <c r="K5" i="2" a="1"/>
  <c r="J5" i="2"/>
  <c r="I5" i="2"/>
  <c r="L4" i="2"/>
  <c r="K4" i="2"/>
  <c r="K4" i="2" a="1"/>
  <c r="J4" i="2"/>
  <c r="I4" i="2"/>
  <c r="I62" i="6"/>
  <c r="I70" i="6" l="1"/>
  <c r="P41" i="5" s="1"/>
  <c r="H46" i="6"/>
  <c r="H47" i="6"/>
  <c r="I47" i="6"/>
  <c r="H49" i="6"/>
  <c r="H48" i="6"/>
  <c r="I49" i="6"/>
  <c r="H50" i="6"/>
  <c r="I48" i="6"/>
  <c r="I50"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4D4A267-CE28-4EFA-8F52-F75E81690F96}"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5ED9C31-B1BC-4486-BBD7-FF926ED3941A}" name="WorksheetConnection_07.sample-data-excel-portfolio-project.xlsx!calls" type="102" refreshedVersion="7" minRefreshableVersion="5">
    <extLst>
      <ext xmlns:x15="http://schemas.microsoft.com/office/spreadsheetml/2010/11/main" uri="{DE250136-89BD-433C-8126-D09CA5730AF9}">
        <x15:connection id="calls" autoDelete="1">
          <x15:rangePr sourceName="_xlcn.WorksheetConnection_07.sampledataexcelportfolioproject.xlsxcalls"/>
        </x15:connection>
      </ext>
    </extLst>
  </connection>
  <connection id="3" xr16:uid="{27D64448-E731-4248-9D1C-0B93F71833EA}" name="WorksheetConnection_07.sample-data-excel-portfolio-project.xlsx!customers" type="102" refreshedVersion="7" minRefreshableVersion="5">
    <extLst>
      <ext xmlns:x15="http://schemas.microsoft.com/office/spreadsheetml/2010/11/main" uri="{DE250136-89BD-433C-8126-D09CA5730AF9}">
        <x15:connection id="customers">
          <x15:rangePr sourceName="_xlcn.WorksheetConnection_07.sampledataexcelportfolioproject.xlsxcustomers"/>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futureMetadata>
  <cellMetadata count="1">
    <bk>
      <rc t="1" v="0"/>
    </bk>
  </cellMetadata>
  <valueMetadata count="5">
    <bk>
      <rc t="2" v="0"/>
    </bk>
    <bk>
      <rc t="2" v="1"/>
    </bk>
    <bk>
      <rc t="2" v="2"/>
    </bk>
    <bk>
      <rc t="2" v="3"/>
    </bk>
    <bk>
      <rc t="2" v="4"/>
    </bk>
  </valueMetadata>
</metadata>
</file>

<file path=xl/sharedStrings.xml><?xml version="1.0" encoding="utf-8"?>
<sst xmlns="http://schemas.openxmlformats.org/spreadsheetml/2006/main" count="3173" uniqueCount="1088">
  <si>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</si>
  <si>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</si>
  <si>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</si>
  <si>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</si>
  <si>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</si>
  <si>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</si>
  <si>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</si>
  <si>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</si>
  <si>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</si>
  <si>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</si>
  <si>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</si>
  <si>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</si>
  <si>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</si>
  <si>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</si>
  <si>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</si>
  <si>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</si>
  <si>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</si>
  <si>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</si>
  <si>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</si>
  <si>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</si>
  <si>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</si>
  <si>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</si>
  <si>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</si>
  <si>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</si>
  <si>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</si>
  <si>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</si>
  <si>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</si>
  <si>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</si>
  <si>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</si>
  <si>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</si>
  <si>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</si>
  <si>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</si>
  <si>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</si>
  <si>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</si>
  <si>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</si>
  <si>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</si>
  <si>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</si>
  <si>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</si>
  <si>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</si>
  <si>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</si>
  <si>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</si>
  <si>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</si>
  <si>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</si>
  <si>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</si>
  <si>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</si>
  <si>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</si>
  <si>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</si>
  <si>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</si>
  <si>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</si>
  <si>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</si>
  <si>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</si>
  <si>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</si>
  <si>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</si>
  <si>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</si>
  <si>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</si>
  <si>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</si>
  <si>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</si>
  <si>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</si>
  <si>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</si>
  <si>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</si>
  <si>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</si>
  <si>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</si>
  <si>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</si>
  <si>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</si>
  <si>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</si>
  <si>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</si>
  <si>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</si>
  <si>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</si>
  <si>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</si>
  <si>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</si>
  <si>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</si>
  <si>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</si>
  <si>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</si>
  <si>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</si>
  <si>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</si>
  <si>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</si>
  <si>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</si>
  <si>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</si>
  <si>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</si>
  <si>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</si>
  <si>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</si>
  <si>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</si>
  <si>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</si>
  <si>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</si>
  <si>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</si>
  <si>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</si>
  <si>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</si>
  <si>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</si>
  <si>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</si>
  <si>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</si>
  <si>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</si>
  <si>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</si>
  <si>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</si>
  <si>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</si>
  <si>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</si>
  <si>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</si>
  <si>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</si>
  <si>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</si>
  <si>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</si>
  <si>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</si>
  <si>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</si>
  <si>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</si>
  <si>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</si>
  <si>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</si>
  <si>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</si>
  <si>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</si>
  <si>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</si>
  <si>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</si>
  <si>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</si>
  <si>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</si>
  <si>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</si>
  <si>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</si>
  <si>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</si>
  <si>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</si>
  <si>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</si>
  <si>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</si>
  <si>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</si>
  <si>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</si>
  <si>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</si>
  <si>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</si>
  <si>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</si>
  <si>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</si>
  <si>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</si>
  <si>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</si>
  <si>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</si>
  <si>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</si>
  <si>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</si>
  <si>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</si>
  <si>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</si>
  <si>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</si>
  <si>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</si>
  <si>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</si>
  <si>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</si>
  <si>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</si>
  <si>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</si>
  <si>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</si>
  <si>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</si>
  <si>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</si>
  <si>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</si>
  <si>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</si>
  <si>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</si>
  <si>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</si>
  <si>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</si>
  <si>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</si>
  <si>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</si>
  <si>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</si>
  <si>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</si>
  <si>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</si>
  <si>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</si>
  <si>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</si>
  <si>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</si>
  <si>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</si>
  <si>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</si>
  <si>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</si>
  <si>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</si>
  <si>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</si>
  <si>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</si>
  <si>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</si>
  <si>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</si>
  <si>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</si>
  <si>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</si>
  <si>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</si>
  <si>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</si>
  <si>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</si>
  <si>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</si>
  <si>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</si>
  <si>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</si>
  <si>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</si>
  <si>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</si>
  <si>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</si>
  <si>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</si>
  <si>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</si>
  <si>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</si>
  <si>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</si>
  <si>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</si>
  <si>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</si>
  <si>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</si>
  <si>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</si>
  <si>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</si>
  <si>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</si>
  <si>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</si>
  <si>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</si>
  <si>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</si>
  <si>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</si>
  <si>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</si>
  <si>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</si>
  <si>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</si>
  <si>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</si>
  <si>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</si>
  <si>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</si>
  <si>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</si>
  <si>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</si>
  <si>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</si>
  <si>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</si>
  <si>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</si>
  <si>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</si>
  <si>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</si>
  <si>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</si>
  <si>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</si>
  <si>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</si>
  <si>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</si>
  <si>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</si>
  <si>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</si>
  <si>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</si>
  <si>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</si>
  <si>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</si>
  <si>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</si>
  <si>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</si>
  <si>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</si>
  <si>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</si>
  <si>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</si>
  <si>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</si>
  <si>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</si>
  <si>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</si>
  <si>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</si>
  <si>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</si>
  <si>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</si>
  <si>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</si>
  <si>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</si>
  <si>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</si>
  <si>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</si>
  <si>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</si>
  <si>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</si>
  <si>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</si>
  <si>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</si>
  <si>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</si>
  <si>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</si>
  <si>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</si>
  <si>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</si>
  <si>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</si>
  <si>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</si>
  <si>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</si>
  <si>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</si>
  <si>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</si>
  <si>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</si>
  <si>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</si>
  <si>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</si>
  <si>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</si>
  <si>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</si>
  <si>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</si>
  <si>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</si>
  <si>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</si>
  <si>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</si>
  <si>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</si>
  <si>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</si>
  <si>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</si>
  <si>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</si>
  <si>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</si>
  <si>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</si>
  <si>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</si>
  <si>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</si>
  <si>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</si>
  <si>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</si>
  <si>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</si>
  <si>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</si>
  <si>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</si>
  <si>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</si>
  <si>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</si>
  <si>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</si>
  <si>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</si>
  <si>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</si>
  <si>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</si>
  <si>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</si>
  <si>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</si>
  <si>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</si>
  <si>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</si>
  <si>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</si>
  <si>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</si>
  <si>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</si>
  <si>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</si>
  <si>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</si>
  <si>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</si>
  <si>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</si>
  <si>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</si>
  <si>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</si>
  <si>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</si>
  <si>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</si>
  <si>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</si>
  <si>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</si>
  <si>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</si>
  <si>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</si>
  <si>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</si>
  <si>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</si>
  <si>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</si>
  <si>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</si>
  <si>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</si>
  <si>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</si>
  <si>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</si>
  <si>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</si>
  <si>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</si>
  <si>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</si>
  <si>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</si>
  <si>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</si>
  <si>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</si>
  <si>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</si>
  <si>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</si>
  <si>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</si>
  <si>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</si>
  <si>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</si>
  <si>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</si>
  <si>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</si>
  <si>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</si>
  <si>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</si>
  <si>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</si>
  <si>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</si>
  <si>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</si>
  <si>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</si>
  <si>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</si>
  <si>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</si>
  <si>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</si>
  <si>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</si>
  <si>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</si>
  <si>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</si>
  <si>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</si>
  <si>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</si>
  <si>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</si>
  <si>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</si>
  <si>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</si>
  <si>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</si>
  <si>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</si>
  <si>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</si>
  <si>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</si>
  <si>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</si>
  <si>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</si>
  <si>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</si>
  <si>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</si>
  <si>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</si>
  <si>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</si>
  <si>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</si>
  <si>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</si>
  <si>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</si>
  <si>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</si>
  <si>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</si>
  <si>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</si>
  <si>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</si>
  <si>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</si>
  <si>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</si>
  <si>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</si>
  <si>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</si>
  <si>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</si>
  <si>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</si>
  <si>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</si>
  <si>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</si>
  <si>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</si>
  <si>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</si>
  <si>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</si>
  <si>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</si>
  <si>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</si>
  <si>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</si>
  <si>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</si>
  <si>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</si>
  <si>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</si>
  <si>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</si>
  <si>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</si>
  <si>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</si>
  <si>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</si>
  <si>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</si>
  <si>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</si>
  <si>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</si>
  <si>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</si>
  <si>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</si>
  <si>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</si>
  <si>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</si>
  <si>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</si>
  <si>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</si>
  <si>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</si>
  <si>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</si>
  <si>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</si>
  <si>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</si>
  <si>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</si>
  <si>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</si>
  <si>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</si>
  <si>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</si>
  <si>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</si>
  <si>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</si>
  <si>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</si>
  <si>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</si>
  <si>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</si>
  <si>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</si>
  <si>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</si>
  <si>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</si>
  <si>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</si>
  <si>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</si>
  <si>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</si>
  <si>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</si>
  <si>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</si>
  <si>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</si>
  <si>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</si>
  <si>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</si>
  <si>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</si>
  <si>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</si>
  <si>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</si>
  <si>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</si>
  <si>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</si>
  <si>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</si>
  <si>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</si>
  <si>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</si>
  <si>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</si>
  <si>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</si>
  <si>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</si>
  <si>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</si>
  <si>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</si>
  <si>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</si>
  <si>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</si>
  <si>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</si>
  <si>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</si>
  <si>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</si>
  <si>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</si>
  <si>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</si>
  <si>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</si>
  <si>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</si>
  <si>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</si>
  <si>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</si>
  <si>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</si>
  <si>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</si>
  <si>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</si>
  <si>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</si>
  <si>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</si>
  <si>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</si>
  <si>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</si>
  <si>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</si>
  <si>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</si>
  <si>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</si>
  <si>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</si>
  <si>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</si>
  <si>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</si>
  <si>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</si>
  <si>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</si>
  <si>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</si>
  <si>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</si>
  <si>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</si>
  <si>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</si>
  <si>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</si>
  <si>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</si>
  <si>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</si>
  <si>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</si>
  <si>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</si>
  <si>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</si>
  <si>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</si>
  <si>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</si>
  <si>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</si>
  <si>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</si>
  <si>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</si>
  <si>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</si>
  <si>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</si>
  <si>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</si>
  <si>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</si>
  <si>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</si>
  <si>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</si>
  <si>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</si>
  <si>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</si>
  <si>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</si>
  <si>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</si>
  <si>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</si>
  <si>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</si>
  <si>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</si>
  <si>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</si>
  <si>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</si>
  <si>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</si>
  <si>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</si>
  <si>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</si>
  <si>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</si>
  <si>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</si>
  <si>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</si>
  <si>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</si>
  <si>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</si>
  <si>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</si>
  <si>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</si>
  <si>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</si>
  <si>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</si>
  <si>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</si>
  <si>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</si>
  <si>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</si>
  <si>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</si>
  <si>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</si>
  <si>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</si>
  <si>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</si>
  <si>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</si>
  <si>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</si>
  <si>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</si>
  <si>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</si>
  <si>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</si>
  <si>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</si>
  <si>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</si>
  <si>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</si>
  <si>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</si>
  <si>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</si>
  <si>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</si>
  <si>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</si>
  <si>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</si>
  <si>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</si>
  <si>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</si>
  <si>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</si>
  <si>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</si>
  <si>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</si>
  <si>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</si>
  <si>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</si>
  <si>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</si>
  <si>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</si>
  <si>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</si>
  <si>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</si>
  <si>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</si>
  <si>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</si>
  <si>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</si>
  <si>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</si>
  <si>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</si>
  <si>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</si>
  <si>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</si>
  <si>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</si>
  <si>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</si>
  <si>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</si>
  <si>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</si>
  <si>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</si>
  <si>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</si>
  <si>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</si>
  <si>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</si>
  <si>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</si>
  <si>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</si>
  <si>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</si>
  <si>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</si>
  <si>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</si>
  <si>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</si>
  <si>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</si>
  <si>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</si>
  <si>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</si>
  <si>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</si>
  <si>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</si>
  <si>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</si>
  <si>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</si>
  <si>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</si>
  <si>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</si>
  <si>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</si>
  <si>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</si>
  <si>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</si>
  <si>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</si>
  <si>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</si>
  <si>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</si>
  <si>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</si>
  <si>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</si>
  <si>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</si>
  <si>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</si>
  <si>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</si>
  <si>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</si>
  <si>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</si>
  <si>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</si>
  <si>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</si>
  <si>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</si>
  <si>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</si>
  <si>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</si>
  <si>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</si>
  <si>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</si>
  <si>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</si>
  <si>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</si>
  <si>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</si>
  <si>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</si>
  <si>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</si>
  <si>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</si>
  <si>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</si>
  <si>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</si>
  <si>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</si>
  <si>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</si>
  <si>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</si>
  <si>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</si>
  <si>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</si>
  <si>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</si>
  <si>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</si>
  <si>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</si>
  <si>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</si>
  <si>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</si>
  <si>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</si>
  <si>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</si>
  <si>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</si>
  <si>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</si>
  <si>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</si>
  <si>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</si>
  <si>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</si>
  <si>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</si>
  <si>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</si>
  <si>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</si>
  <si>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</si>
  <si>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</si>
  <si>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</si>
  <si>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</si>
  <si>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</si>
  <si>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</si>
  <si>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</si>
  <si>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</si>
  <si>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</si>
  <si>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</si>
  <si>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</si>
  <si>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</si>
  <si>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</si>
  <si>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</si>
  <si>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</si>
  <si>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</si>
  <si>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</si>
  <si>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</si>
  <si>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</si>
  <si>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</si>
  <si>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</si>
  <si>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</si>
  <si>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</si>
  <si>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</si>
  <si>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</si>
  <si>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</si>
  <si>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</si>
  <si>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</si>
  <si>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</si>
  <si>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</si>
  <si>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</si>
  <si>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</si>
  <si>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</si>
  <si>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</si>
  <si>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</si>
  <si>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</si>
  <si>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</si>
  <si>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</si>
  <si>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</si>
  <si>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</si>
  <si>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</si>
  <si>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</si>
  <si>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</si>
  <si>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</si>
  <si>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</si>
  <si>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</si>
  <si>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</si>
  <si>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</si>
  <si>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</si>
  <si>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</si>
  <si>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</si>
  <si>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</si>
  <si>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</si>
  <si>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</si>
  <si>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</si>
  <si>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</si>
  <si>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</si>
  <si>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</si>
  <si>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</si>
  <si>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</si>
  <si>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</si>
  <si>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</si>
  <si>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</si>
  <si>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</si>
  <si>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</si>
  <si>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</si>
  <si>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</si>
  <si>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</si>
  <si>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</si>
  <si>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</si>
  <si>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</si>
  <si>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</si>
  <si>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</si>
  <si>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</si>
  <si>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</si>
  <si>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</si>
  <si>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</si>
  <si>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</si>
  <si>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</si>
  <si>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</si>
  <si>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</si>
  <si>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</si>
  <si>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</si>
  <si>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</si>
  <si>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</si>
  <si>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</si>
  <si>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</si>
  <si>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</si>
  <si>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</si>
  <si>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</si>
  <si>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</si>
  <si>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</si>
  <si>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</si>
  <si>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</si>
  <si>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</si>
  <si>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</si>
  <si>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</si>
  <si>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</si>
  <si>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</si>
  <si>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</si>
  <si>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</si>
  <si>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</si>
  <si>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</si>
  <si>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</si>
  <si>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</si>
  <si>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</si>
  <si>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</si>
  <si>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</si>
  <si>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</si>
  <si>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</si>
  <si>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</si>
  <si>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</si>
  <si>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</si>
  <si>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</si>
  <si>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</si>
  <si>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</si>
  <si>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</si>
  <si>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</si>
  <si>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</si>
  <si>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</si>
  <si>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</si>
  <si>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</si>
  <si>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</si>
  <si>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</si>
  <si>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</si>
  <si>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</si>
  <si>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</si>
  <si>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</si>
  <si>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</si>
  <si>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</si>
  <si>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</si>
  <si>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</si>
  <si>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</si>
  <si>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</si>
  <si>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</si>
  <si>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</si>
  <si>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</si>
  <si>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</si>
  <si>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</si>
  <si>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</si>
  <si>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</si>
  <si>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</si>
  <si>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</si>
  <si>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</si>
  <si>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</si>
  <si>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</si>
  <si>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</si>
  <si>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</si>
  <si>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</si>
  <si>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</si>
  <si>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</si>
  <si>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</si>
  <si>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</si>
  <si>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</si>
  <si>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</si>
  <si>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</si>
  <si>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</si>
  <si>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</si>
  <si>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</si>
  <si>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</si>
  <si>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</si>
  <si>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</si>
  <si>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</si>
  <si>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</si>
  <si>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</si>
  <si>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</si>
  <si>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</si>
  <si>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</si>
  <si>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</si>
  <si>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</si>
  <si>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</si>
  <si>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</si>
  <si>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</si>
  <si>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</si>
  <si>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</si>
  <si>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</si>
  <si>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</si>
  <si>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</si>
  <si>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</si>
  <si>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</si>
  <si>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</si>
  <si>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</si>
  <si>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</si>
  <si>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</si>
  <si>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</si>
  <si>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</si>
  <si>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</si>
  <si>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</si>
  <si>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</si>
  <si>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</si>
  <si>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</si>
  <si>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</si>
  <si>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</si>
  <si>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</si>
  <si>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</si>
  <si>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</si>
  <si>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</si>
  <si>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</si>
  <si>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</si>
  <si>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</si>
  <si>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</si>
  <si>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</si>
  <si>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</si>
  <si>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</si>
  <si>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</si>
  <si>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</si>
  <si>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</si>
  <si>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</si>
  <si>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</si>
  <si>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</si>
  <si>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</si>
  <si>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</si>
  <si>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</si>
  <si>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</si>
  <si>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</si>
  <si>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</si>
  <si>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</si>
  <si>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</si>
  <si>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</si>
  <si>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</si>
  <si>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</si>
  <si>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</si>
  <si>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</si>
  <si>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</si>
  <si>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</si>
  <si>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</si>
  <si>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</si>
  <si>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</si>
  <si>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</si>
  <si>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</si>
  <si>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</si>
  <si>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</si>
  <si>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</si>
  <si>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</si>
  <si>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</si>
  <si>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</si>
  <si>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</si>
  <si>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</si>
  <si>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</si>
  <si>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</si>
  <si>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</si>
  <si>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</si>
  <si>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</si>
  <si>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</si>
  <si>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</si>
  <si>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</si>
  <si>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</si>
  <si>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</si>
  <si>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</si>
  <si>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</si>
  <si>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</si>
  <si>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</si>
  <si>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</si>
  <si>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</si>
  <si>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</si>
  <si>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</si>
  <si>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</si>
  <si>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</si>
  <si>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</si>
  <si>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</si>
  <si>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</si>
  <si>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</si>
  <si>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</si>
  <si>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</si>
  <si>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</si>
  <si>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</si>
  <si>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</si>
  <si>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</si>
  <si>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</si>
  <si>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</si>
  <si>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</si>
  <si>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</si>
  <si>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</si>
  <si>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</si>
  <si>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</si>
  <si>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</si>
  <si>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</si>
  <si>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</si>
  <si>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</si>
  <si>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</si>
  <si>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</si>
  <si>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</si>
  <si>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</si>
  <si>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</si>
  <si>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</si>
  <si>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</si>
  <si>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</si>
  <si>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</si>
  <si>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</si>
  <si>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</si>
  <si>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</si>
  <si>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</si>
  <si>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</si>
  <si>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</si>
  <si>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</si>
  <si>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</si>
  <si>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</si>
  <si>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</si>
  <si>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</si>
  <si>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</si>
  <si>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</si>
  <si>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</si>
  <si>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</si>
  <si>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</si>
  <si>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</si>
  <si>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</si>
  <si>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</si>
  <si>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</si>
  <si>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</si>
  <si>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</si>
  <si>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</si>
  <si>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</si>
  <si>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</si>
  <si>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</si>
  <si>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</si>
  <si>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</si>
  <si>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</si>
  <si>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</si>
  <si>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</si>
  <si>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</si>
  <si>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</si>
  <si>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</si>
  <si>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</si>
  <si>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</si>
  <si>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</si>
  <si>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</si>
  <si>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</si>
  <si>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</si>
  <si>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</si>
  <si>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</si>
  <si>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</si>
  <si>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</si>
  <si>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</si>
  <si>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</si>
  <si>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</si>
  <si>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</si>
  <si>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</si>
  <si>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</si>
  <si>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</si>
  <si>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</si>
  <si>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</si>
  <si>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</si>
  <si>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</si>
  <si>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</si>
  <si>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</si>
  <si>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</si>
  <si>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</si>
  <si>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</si>
  <si>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</si>
  <si>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</si>
  <si>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</si>
  <si>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</si>
  <si>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</si>
  <si>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</si>
  <si>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</si>
  <si>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</si>
  <si>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</si>
  <si>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</si>
  <si>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</si>
  <si>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</si>
  <si>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</si>
  <si>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</si>
  <si>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</si>
  <si>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</si>
  <si>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</si>
  <si>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</si>
  <si>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</si>
  <si>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</si>
  <si>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</si>
  <si>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</si>
  <si>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</si>
  <si>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</si>
  <si>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</si>
  <si>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</si>
  <si>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</si>
  <si>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</si>
  <si>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</si>
  <si>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</si>
  <si>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</si>
  <si>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</si>
  <si>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</si>
  <si>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</si>
  <si>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</si>
  <si>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</si>
  <si>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</si>
  <si>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</si>
  <si>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</si>
  <si>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</si>
  <si>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</si>
  <si>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</si>
  <si>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</si>
  <si>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</si>
  <si>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</si>
  <si>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</si>
  <si>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</si>
  <si>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</si>
  <si>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</si>
  <si>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</si>
  <si>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</si>
  <si>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</si>
  <si>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</si>
  <si>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</si>
  <si>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</si>
  <si>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</si>
  <si>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</si>
  <si>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</si>
  <si>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</si>
  <si>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</si>
  <si>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</si>
  <si>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</si>
  <si>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</si>
  <si>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</si>
  <si>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</si>
  <si>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</si>
  <si>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</si>
  <si>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</si>
  <si>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</si>
  <si>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</si>
  <si>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</si>
  <si>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</si>
  <si>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</si>
  <si>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</si>
  <si>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</si>
  <si>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</si>
  <si>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</si>
  <si>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</si>
  <si>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</si>
  <si>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</si>
  <si>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</si>
  <si>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</si>
  <si>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</si>
  <si>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</si>
  <si>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</si>
  <si>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</si>
  <si>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</si>
  <si>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</si>
  <si>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</si>
  <si>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</si>
  <si>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</si>
  <si>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</si>
  <si>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</si>
  <si>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</si>
  <si>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</si>
  <si>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</si>
  <si>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</si>
  <si>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</si>
  <si>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</si>
  <si>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</si>
  <si>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</si>
  <si>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</si>
  <si>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</si>
  <si>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</si>
  <si>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</si>
  <si>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</si>
  <si>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</si>
  <si>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</si>
  <si>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</si>
  <si>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</si>
  <si>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</si>
  <si>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</si>
  <si>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</si>
  <si>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</si>
  <si>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 Count</t>
  </si>
  <si>
    <t>Total Amount</t>
  </si>
  <si>
    <t>Total Duration</t>
  </si>
  <si>
    <t>Average Rating</t>
  </si>
  <si>
    <t>5 star Rating</t>
  </si>
  <si>
    <t>Sunday</t>
  </si>
  <si>
    <t>Monday</t>
  </si>
  <si>
    <t>Tuesday</t>
  </si>
  <si>
    <t>Wednesday</t>
  </si>
  <si>
    <t>Thursday</t>
  </si>
  <si>
    <t>Friday</t>
  </si>
  <si>
    <t>Saturday</t>
  </si>
  <si>
    <t>Row Labels</t>
  </si>
  <si>
    <t>Grand Total</t>
  </si>
  <si>
    <t>Jan</t>
  </si>
  <si>
    <t>Feb</t>
  </si>
  <si>
    <t>Mar</t>
  </si>
  <si>
    <t>Apr</t>
  </si>
  <si>
    <t>May</t>
  </si>
  <si>
    <t>Jun</t>
  </si>
  <si>
    <t>Jul</t>
  </si>
  <si>
    <t>Aug</t>
  </si>
  <si>
    <t>Sep</t>
  </si>
  <si>
    <t>Oct</t>
  </si>
  <si>
    <t>Nov</t>
  </si>
  <si>
    <t>Dec</t>
  </si>
  <si>
    <t>Call Count2</t>
  </si>
  <si>
    <t>a</t>
  </si>
  <si>
    <t>for graph</t>
  </si>
  <si>
    <t>Rep</t>
  </si>
  <si>
    <t>call</t>
  </si>
  <si>
    <t>amount</t>
  </si>
  <si>
    <t>sel.calls</t>
  </si>
  <si>
    <t>sel.amount</t>
  </si>
  <si>
    <t>selected rep</t>
  </si>
  <si>
    <t>Column Labels</t>
  </si>
  <si>
    <t>Gender</t>
  </si>
  <si>
    <t>TOTAL</t>
  </si>
  <si>
    <t>Amount Rank</t>
  </si>
  <si>
    <t>Call Rank</t>
  </si>
  <si>
    <t>%of Calls</t>
  </si>
  <si>
    <t>Rep Summary</t>
  </si>
  <si>
    <t>Calls</t>
  </si>
  <si>
    <t xml:space="preserve">Amount </t>
  </si>
  <si>
    <t>Labels</t>
  </si>
  <si>
    <t xml:space="preserve"> </t>
  </si>
  <si>
    <t>📞 Call Center Performance &amp; Sales Analytics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</si>
</sst>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yy;@"/>
    <numFmt numFmtId="165" formatCode="\$#,##0;\(\$#,##0\);\$#,##0"/>
    <numFmt numFmtId="166" formatCode="0.0"/>
    <numFmt numFmtId="167" formatCode="&quot;$&quot;#,###.0,&quot;k&quot;"/>
    <numFmt numFmtId="168" formatCode="&quot;$&quot;#,##0"/>
  </numFmts>
  <fonts count="7">
    <font>
      <sz val="11"/>
      <color theme="1"/>
      <name val="Microsoft Sans Serif"/>
      <family val="2"/>
      <scheme val="minor"/>
    </font>
    <font>
      <b/>
      <sz val="11"/>
      <color theme="1"/>
      <name val="Microsoft Sans Serif"/>
      <family val="2"/>
      <scheme val="minor"/>
    </font>
    <font>
      <sz val="8"/>
      <name val="Microsoft Sans Serif"/>
      <family val="2"/>
      <scheme val="minor"/>
    </font>
    <font>
      <sz val="18"/>
      <color theme="1"/>
      <name val="Aptos ExtraBold"/>
      <family val="2"/>
    </font>
    <font>
      <sz val="11"/>
      <color theme="1"/>
      <name val="Microsoft Sans Serif"/>
      <family val="2"/>
      <scheme val="minor"/>
    </font>
    <font>
      <sz val="12"/>
      <color theme="1"/>
      <name val="Microsoft Sans Serif"/>
      <family val="2"/>
      <scheme val="minor"/>
    </font>
    <font>
      <b/>
      <sz val="24"/>
      <color theme="1" tint="4.9989318521683403E-2"/>
      <name val="Arial Rounded MT Bold"/>
      <family val="2"/>
      <scheme val="major"/>
    </font>
  </fonts>
  <fills count="5">
    <fill>
      <patternFill patternType="none"/>
    </fill>
    <fill>
      <patternFill patternType="gray125"/>
    </fill>
    <fill>
      <patternFill patternType="solid">
        <fgColor theme="7"/>
        <bgColor indexed="64"/>
      </patternFill>
    </fill>
    <fill>
      <patternFill patternType="solid">
        <fgColor theme="0" tint="-4.9989318521683403E-2"/>
        <bgColor indexed="64"/>
      </patternFill>
    </fill>
    <fill>
      <patternFill patternType="solid">
        <fgColor theme="8"/>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top/>
      <bottom style="thin">
        <color indexed="64"/>
      </bottom>
      <diagonal/>
    </border>
    <border>
      <left/>
      <right style="thin">
        <color indexed="64"/>
      </right>
      <top/>
      <bottom/>
      <diagonal/>
    </border>
    <border>
      <left/>
      <right/>
      <top style="thin">
        <color indexed="64"/>
      </top>
      <bottom/>
      <diagonal/>
    </border>
  </borders>
  <cellStyleXfs count="2">
    <xf numFmtId="0" fontId="0" fillId="0" borderId="0"/>
    <xf numFmtId="9" fontId="4" fillId="0" borderId="0" applyFont="0" applyFill="0" applyBorder="0" applyAlignment="0" applyProtection="0"/>
  </cellStyleXfs>
  <cellXfs count="47">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3"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0" fontId="0" fillId="4" borderId="0" xfId="0" applyFont="1" applyFill="1" applyAlignment="1">
      <alignment horizontal="left"/>
    </xf>
    <xf numFmtId="167" fontId="1" fillId="0" borderId="0" xfId="0" applyNumberFormat="1" applyFont="1"/>
    <xf numFmtId="0" fontId="0" fillId="0" borderId="0" xfId="0" applyNumberFormat="1"/>
    <xf numFmtId="0" fontId="0" fillId="0" borderId="0" xfId="0" applyAlignment="1">
      <alignment horizontal="left" indent="1"/>
    </xf>
    <xf numFmtId="9" fontId="0" fillId="0" borderId="0" xfId="1" applyFont="1"/>
    <xf numFmtId="0" fontId="0" fillId="3" borderId="0" xfId="0" applyFill="1" applyAlignment="1">
      <alignment horizontal="center"/>
    </xf>
    <xf numFmtId="0" fontId="0" fillId="3" borderId="0" xfId="0" applyFill="1" applyAlignment="1">
      <alignment horizontal="left"/>
    </xf>
    <xf numFmtId="0" fontId="0" fillId="3" borderId="12" xfId="0" applyFill="1" applyBorder="1" applyAlignment="1">
      <alignment horizontal="left"/>
    </xf>
    <xf numFmtId="0" fontId="5" fillId="3" borderId="9" xfId="0" applyFont="1" applyFill="1" applyBorder="1"/>
    <xf numFmtId="0" fontId="5" fillId="3" borderId="13" xfId="0" applyFont="1" applyFill="1" applyBorder="1"/>
    <xf numFmtId="0" fontId="5" fillId="3" borderId="7" xfId="0" applyFont="1" applyFill="1" applyBorder="1"/>
    <xf numFmtId="0" fontId="5" fillId="3" borderId="10" xfId="0" applyFont="1" applyFill="1" applyBorder="1"/>
    <xf numFmtId="0" fontId="5" fillId="3" borderId="0" xfId="0" applyFont="1" applyFill="1" applyBorder="1"/>
    <xf numFmtId="0" fontId="5" fillId="3" borderId="12" xfId="0" applyFont="1" applyFill="1" applyBorder="1"/>
    <xf numFmtId="0" fontId="5" fillId="3" borderId="10" xfId="0" applyFont="1" applyFill="1" applyBorder="1" applyAlignment="1">
      <alignment horizontal="left" indent="1"/>
    </xf>
    <xf numFmtId="168" fontId="5" fillId="3" borderId="0" xfId="0" applyNumberFormat="1" applyFont="1" applyFill="1" applyBorder="1"/>
    <xf numFmtId="168" fontId="5" fillId="3" borderId="12" xfId="0" applyNumberFormat="1" applyFont="1" applyFill="1" applyBorder="1"/>
    <xf numFmtId="0" fontId="5" fillId="3" borderId="6" xfId="0" applyFont="1" applyFill="1" applyBorder="1" applyAlignment="1">
      <alignment horizontal="left" indent="1"/>
    </xf>
    <xf numFmtId="168" fontId="5" fillId="3" borderId="11" xfId="0" applyNumberFormat="1" applyFont="1" applyFill="1" applyBorder="1"/>
    <xf numFmtId="168" fontId="5" fillId="3" borderId="4" xfId="0" applyNumberFormat="1" applyFont="1" applyFill="1" applyBorder="1"/>
    <xf numFmtId="0" fontId="6" fillId="3" borderId="0" xfId="0" applyFont="1" applyFill="1"/>
  </cellXfs>
  <cellStyles count="2">
    <cellStyle name="Normal" xfId="0" builtinId="0"/>
    <cellStyle name="Percent" xfId="1" builtinId="5"/>
  </cellStyles>
  <dxfs count="22">
    <dxf>
      <font>
        <color theme="1"/>
      </font>
    </dxf>
    <dxf>
      <fill>
        <patternFill patternType="solid">
          <bgColor theme="8"/>
        </patternFill>
      </fill>
    </dxf>
    <dxf>
      <fill>
        <patternFill>
          <fgColor theme="9" tint="0.59996337778862885"/>
          <bgColor theme="9" tint="0.59996337778862885"/>
        </patternFill>
      </fill>
      <border>
        <left style="thin">
          <color auto="1"/>
        </left>
        <right style="thin">
          <color auto="1"/>
        </right>
        <vertical/>
        <horizontal/>
      </border>
    </dxf>
    <dxf>
      <fill>
        <patternFill patternType="solid">
          <bgColor theme="8"/>
        </patternFill>
      </fill>
    </dxf>
    <dxf>
      <font>
        <color theme="1"/>
      </font>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Microsoft Sans Serif"/>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ont>
        <b/>
        <color theme="1"/>
      </font>
      <border>
        <bottom style="thin">
          <color theme="8"/>
        </bottom>
        <vertical/>
        <horizontal/>
      </border>
    </dxf>
    <dxf>
      <font>
        <color theme="1"/>
        <name val="Arial"/>
        <family val="2"/>
        <scheme val="none"/>
      </font>
      <border>
        <left style="thin">
          <color theme="8"/>
        </left>
        <right style="thin">
          <color theme="8"/>
        </right>
        <top style="thin">
          <color theme="8"/>
        </top>
        <bottom style="thin">
          <color theme="8"/>
        </bottom>
        <vertical style="thin">
          <color theme="8"/>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21"/>
    </tableStyle>
    <tableStyle name="SlicerStyleDark5 2" pivot="0" table="0" count="10" xr9:uid="{4FF75D67-F8D0-4A67-8C09-1C8B460BE316}">
      <tableStyleElement type="wholeTable" dxfId="20"/>
      <tableStyleElement type="headerRow" dxfId="19"/>
    </tableStyle>
  </tableStyles>
  <colors>
    <mruColors>
      <color rgb="FF5DCEAF"/>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b/>
            <i val="0"/>
            <sz val="14"/>
            <color theme="0"/>
          </font>
          <fill>
            <patternFill patternType="gray0625">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tint="-0.14996795556505021"/>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26" Type="http://schemas.microsoft.com/office/2022/10/relationships/richValueRel" Target="richData/richValueRel.xml"/><Relationship Id="rId3" Type="http://schemas.openxmlformats.org/officeDocument/2006/relationships/worksheet" Target="worksheets/sheet3.xml"/><Relationship Id="rId21" Type="http://schemas.microsoft.com/office/2017/06/relationships/rdRichValue" Target="richData/rdrichvalue.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powerPivotData" Target="model/item.data"/><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microsoft.com/office/2017/06/relationships/rdRichValueTypes" Target="richData/rdRichValueTypes.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17/06/relationships/rdRichValueStructure" Target="richData/rdrichvalue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Performance &amp; Sales Analysis Dashboard.xlsx]Pivots!monthly trend</c:name>
    <c:fmtId val="11"/>
  </c:pivotSource>
  <c:chart>
    <c:title>
      <c:tx>
        <c:rich>
          <a:bodyPr rot="0" spcFirstLastPara="1" vertOverflow="ellipsis" vert="horz" wrap="square" anchor="ctr" anchorCtr="1"/>
          <a:lstStyle/>
          <a:p>
            <a:pPr>
              <a:defRPr sz="1600" b="0" i="0" u="none" strike="noStrike" kern="1200" spc="0" baseline="0">
                <a:solidFill>
                  <a:schemeClr val="accent6"/>
                </a:solidFill>
                <a:latin typeface="+mj-lt"/>
                <a:ea typeface="Cascadia Code" panose="020B0609020000020004" pitchFamily="49" charset="0"/>
                <a:cs typeface="Arial" panose="020B0604020202020204" pitchFamily="34" charset="0"/>
              </a:defRPr>
            </a:pPr>
            <a:r>
              <a:rPr lang="en-IN" sz="1600" b="0">
                <a:solidFill>
                  <a:schemeClr val="accent6"/>
                </a:solidFill>
                <a:latin typeface="+mj-lt"/>
                <a:ea typeface="Cascadia Code" panose="020B0609020000020004" pitchFamily="49" charset="0"/>
                <a:cs typeface="Arial" panose="020B0604020202020204" pitchFamily="34" charset="0"/>
              </a:rPr>
              <a:t>Call Trend</a:t>
            </a:r>
          </a:p>
        </c:rich>
      </c:tx>
      <c:layout>
        <c:manualLayout>
          <c:xMode val="edge"/>
          <c:yMode val="edge"/>
          <c:x val="5.8013779527559053E-2"/>
          <c:y val="2.7777777777777776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accent6"/>
              </a:solidFill>
              <a:latin typeface="+mj-lt"/>
              <a:ea typeface="Cascadia Code" panose="020B0609020000020004" pitchFamily="49" charset="0"/>
              <a:cs typeface="Arial" panose="020B0604020202020204" pitchFamily="34" charset="0"/>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28000">
                <a:schemeClr val="accent6">
                  <a:lumMod val="60000"/>
                  <a:lumOff val="40000"/>
                </a:schemeClr>
              </a:gs>
              <a:gs pos="73000">
                <a:srgbClr val="F46750"/>
              </a:gs>
              <a:gs pos="100000">
                <a:schemeClr val="accent6"/>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7"/>
          <c:spPr>
            <a:solidFill>
              <a:schemeClr val="bg1"/>
            </a:solidFill>
            <a:ln w="25400">
              <a:solidFill>
                <a:schemeClr val="bg2">
                  <a:lumMod val="2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Pivots!$C$22</c:f>
              <c:strCache>
                <c:ptCount val="1"/>
                <c:pt idx="0">
                  <c:v>Call Count2</c:v>
                </c:pt>
              </c:strCache>
            </c:strRef>
          </c:tx>
          <c:spPr>
            <a:gradFill flip="none" rotWithShape="1">
              <a:gsLst>
                <a:gs pos="28000">
                  <a:schemeClr val="accent6">
                    <a:lumMod val="60000"/>
                    <a:lumOff val="40000"/>
                  </a:schemeClr>
                </a:gs>
                <a:gs pos="73000">
                  <a:srgbClr val="F46750"/>
                </a:gs>
                <a:gs pos="100000">
                  <a:schemeClr val="accent6"/>
                </a:gs>
              </a:gsLst>
              <a:lin ang="16200000" scaled="1"/>
              <a:tileRect/>
            </a:gradFill>
            <a:ln>
              <a:noFill/>
            </a:ln>
            <a:effectLst/>
          </c:spPr>
          <c:cat>
            <c:strRef>
              <c:f>Pivots!$A$23:$A$35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Pivots!$C$23:$C$35</c:f>
              <c:numCache>
                <c:formatCode>#,##0</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extLst>
            <c:ext xmlns:c16="http://schemas.microsoft.com/office/drawing/2014/chart" uri="{C3380CC4-5D6E-409C-BE32-E72D297353CC}">
              <c16:uniqueId val="{00000000-7FAE-4D7F-8F00-524B6AB80930}"/>
            </c:ext>
          </c:extLst>
        </c:ser>
        <c:dLbls>
          <c:showLegendKey val="0"/>
          <c:showVal val="0"/>
          <c:showCatName val="0"/>
          <c:showSerName val="0"/>
          <c:showPercent val="0"/>
          <c:showBubbleSize val="0"/>
        </c:dLbls>
        <c:axId val="846016224"/>
        <c:axId val="846012480"/>
      </c:areaChart>
      <c:lineChart>
        <c:grouping val="standard"/>
        <c:varyColors val="0"/>
        <c:ser>
          <c:idx val="0"/>
          <c:order val="0"/>
          <c:tx>
            <c:strRef>
              <c:f>Pivots!$B$22</c:f>
              <c:strCache>
                <c:ptCount val="1"/>
                <c:pt idx="0">
                  <c:v>Call Count</c:v>
                </c:pt>
              </c:strCache>
            </c:strRef>
          </c:tx>
          <c:spPr>
            <a:ln w="28575" cap="rnd">
              <a:solidFill>
                <a:schemeClr val="accent1"/>
              </a:solidFill>
              <a:round/>
            </a:ln>
            <a:effectLst/>
          </c:spPr>
          <c:marker>
            <c:symbol val="circle"/>
            <c:size val="7"/>
            <c:spPr>
              <a:solidFill>
                <a:schemeClr val="bg1"/>
              </a:solidFill>
              <a:ln w="25400">
                <a:solidFill>
                  <a:schemeClr val="bg2">
                    <a:lumMod val="25000"/>
                  </a:schemeClr>
                </a:solidFill>
              </a:ln>
              <a:effectLst/>
            </c:spPr>
          </c:marker>
          <c:cat>
            <c:strRef>
              <c:f>Pivots!$A$23:$A$35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Pivots!$B$23:$B$35</c:f>
              <c:numCache>
                <c:formatCode>#,##0</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smooth val="0"/>
          <c:extLst>
            <c:ext xmlns:c16="http://schemas.microsoft.com/office/drawing/2014/chart" uri="{C3380CC4-5D6E-409C-BE32-E72D297353CC}">
              <c16:uniqueId val="{00000001-7FAE-4D7F-8F00-524B6AB80930}"/>
            </c:ext>
          </c:extLst>
        </c:ser>
        <c:dLbls>
          <c:showLegendKey val="0"/>
          <c:showVal val="0"/>
          <c:showCatName val="0"/>
          <c:showSerName val="0"/>
          <c:showPercent val="0"/>
          <c:showBubbleSize val="0"/>
        </c:dLbls>
        <c:marker val="1"/>
        <c:smooth val="0"/>
        <c:axId val="846016224"/>
        <c:axId val="846012480"/>
      </c:lineChart>
      <c:catAx>
        <c:axId val="846016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012480"/>
        <c:crosses val="autoZero"/>
        <c:auto val="1"/>
        <c:lblAlgn val="ctr"/>
        <c:lblOffset val="100"/>
        <c:noMultiLvlLbl val="0"/>
      </c:catAx>
      <c:valAx>
        <c:axId val="8460124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0162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Performance &amp; Sales Analysis Dashboard.xlsx]Pivots!weekday trend</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pivotFmt>
    </c:pivotFmts>
    <c:plotArea>
      <c:layout/>
      <c:barChart>
        <c:barDir val="bar"/>
        <c:grouping val="stacked"/>
        <c:varyColors val="0"/>
        <c:ser>
          <c:idx val="0"/>
          <c:order val="0"/>
          <c:tx>
            <c:strRef>
              <c:f>Pivots!$H$22</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Pivots!$G$23:$G$30</c:f>
              <c:strCache>
                <c:ptCount val="7"/>
                <c:pt idx="0">
                  <c:v>Sunday</c:v>
                </c:pt>
                <c:pt idx="1">
                  <c:v>Monday</c:v>
                </c:pt>
                <c:pt idx="2">
                  <c:v>Tuesday</c:v>
                </c:pt>
                <c:pt idx="3">
                  <c:v>Wednesday</c:v>
                </c:pt>
                <c:pt idx="4">
                  <c:v>Thursday</c:v>
                </c:pt>
                <c:pt idx="5">
                  <c:v>Friday</c:v>
                </c:pt>
                <c:pt idx="6">
                  <c:v>Saturday</c:v>
                </c:pt>
              </c:strCache>
            </c:strRef>
          </c:cat>
          <c:val>
            <c:numRef>
              <c:f>Pivots!$H$23:$H$30</c:f>
              <c:numCache>
                <c:formatCode>#,##0</c:formatCode>
                <c:ptCount val="7"/>
                <c:pt idx="0">
                  <c:v>36</c:v>
                </c:pt>
                <c:pt idx="1">
                  <c:v>30</c:v>
                </c:pt>
                <c:pt idx="2">
                  <c:v>13</c:v>
                </c:pt>
                <c:pt idx="3">
                  <c:v>23</c:v>
                </c:pt>
                <c:pt idx="4">
                  <c:v>23</c:v>
                </c:pt>
                <c:pt idx="5">
                  <c:v>24</c:v>
                </c:pt>
                <c:pt idx="6">
                  <c:v>40</c:v>
                </c:pt>
              </c:numCache>
            </c:numRef>
          </c:val>
          <c:extLst>
            <c:ext xmlns:c16="http://schemas.microsoft.com/office/drawing/2014/chart" uri="{C3380CC4-5D6E-409C-BE32-E72D297353CC}">
              <c16:uniqueId val="{00000000-6CB1-4710-A843-01CF87F72C0D}"/>
            </c:ext>
          </c:extLst>
        </c:ser>
        <c:dLbls>
          <c:showLegendKey val="0"/>
          <c:showVal val="0"/>
          <c:showCatName val="0"/>
          <c:showSerName val="0"/>
          <c:showPercent val="0"/>
          <c:showBubbleSize val="0"/>
        </c:dLbls>
        <c:gapWidth val="25"/>
        <c:overlap val="100"/>
        <c:axId val="680193328"/>
        <c:axId val="680185424"/>
      </c:barChart>
      <c:catAx>
        <c:axId val="6801933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0185424"/>
        <c:crosses val="autoZero"/>
        <c:auto val="1"/>
        <c:lblAlgn val="ctr"/>
        <c:lblOffset val="100"/>
        <c:noMultiLvlLbl val="0"/>
      </c:catAx>
      <c:valAx>
        <c:axId val="680185424"/>
        <c:scaling>
          <c:orientation val="minMax"/>
        </c:scaling>
        <c:delete val="1"/>
        <c:axPos val="b"/>
        <c:numFmt formatCode="#,##0" sourceLinked="1"/>
        <c:majorTickMark val="none"/>
        <c:minorTickMark val="none"/>
        <c:tickLblPos val="nextTo"/>
        <c:crossAx val="6801933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Pivots!$E$46:$E$50</c:f>
              <c:strCache>
                <c:ptCount val="5"/>
                <c:pt idx="0">
                  <c:v>R01</c:v>
                </c:pt>
                <c:pt idx="1">
                  <c:v>R02</c:v>
                </c:pt>
                <c:pt idx="2">
                  <c:v>R03</c:v>
                </c:pt>
                <c:pt idx="3">
                  <c:v>R04</c:v>
                </c:pt>
                <c:pt idx="4">
                  <c:v>R05</c:v>
                </c:pt>
              </c:strCache>
            </c:strRef>
          </c:cat>
          <c:val>
            <c:numRef>
              <c:f>Pivots!$F$46:$F$50</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A421-495A-B869-1B6AB97F86A9}"/>
            </c:ext>
          </c:extLst>
        </c:ser>
        <c:ser>
          <c:idx val="1"/>
          <c:order val="1"/>
          <c:tx>
            <c:strRef>
              <c:f>Pivots!$H$45</c:f>
              <c:strCache>
                <c:ptCount val="1"/>
                <c:pt idx="0">
                  <c:v>sel.calls</c:v>
                </c:pt>
              </c:strCache>
            </c:strRef>
          </c:tx>
          <c:spPr>
            <a:gradFill flip="none" rotWithShape="1">
              <a:gsLst>
                <a:gs pos="70000">
                  <a:schemeClr val="accent5"/>
                </a:gs>
                <a:gs pos="93000">
                  <a:srgbClr val="F46750"/>
                </a:gs>
                <a:gs pos="53000">
                  <a:schemeClr val="accent5"/>
                </a:gs>
              </a:gsLst>
              <a:lin ang="0" scaled="1"/>
              <a:tileRect/>
            </a:gradFill>
            <a:ln>
              <a:noFill/>
            </a:ln>
            <a:effectLst/>
          </c:spPr>
          <c:invertIfNegative val="0"/>
          <c:val>
            <c:numRef>
              <c:f>Pivots!$H$46:$H$50</c:f>
              <c:numCache>
                <c:formatCode>General</c:formatCode>
                <c:ptCount val="5"/>
                <c:pt idx="0">
                  <c:v>189</c:v>
                </c:pt>
                <c:pt idx="1">
                  <c:v>#N/A</c:v>
                </c:pt>
                <c:pt idx="2">
                  <c:v>#N/A</c:v>
                </c:pt>
                <c:pt idx="3">
                  <c:v>#N/A</c:v>
                </c:pt>
                <c:pt idx="4">
                  <c:v>#N/A</c:v>
                </c:pt>
              </c:numCache>
            </c:numRef>
          </c:val>
          <c:extLst>
            <c:ext xmlns:c16="http://schemas.microsoft.com/office/drawing/2014/chart" uri="{C3380CC4-5D6E-409C-BE32-E72D297353CC}">
              <c16:uniqueId val="{00000001-A421-495A-B869-1B6AB97F86A9}"/>
            </c:ext>
          </c:extLst>
        </c:ser>
        <c:dLbls>
          <c:showLegendKey val="0"/>
          <c:showVal val="0"/>
          <c:showCatName val="0"/>
          <c:showSerName val="0"/>
          <c:showPercent val="0"/>
          <c:showBubbleSize val="0"/>
        </c:dLbls>
        <c:gapWidth val="25"/>
        <c:overlap val="100"/>
        <c:axId val="1546487280"/>
        <c:axId val="1546488112"/>
      </c:barChart>
      <c:catAx>
        <c:axId val="1546487280"/>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6488112"/>
        <c:crosses val="autoZero"/>
        <c:auto val="1"/>
        <c:lblAlgn val="ctr"/>
        <c:lblOffset val="100"/>
        <c:noMultiLvlLbl val="0"/>
      </c:catAx>
      <c:valAx>
        <c:axId val="1546488112"/>
        <c:scaling>
          <c:orientation val="minMax"/>
          <c:min val="0"/>
        </c:scaling>
        <c:delete val="1"/>
        <c:axPos val="t"/>
        <c:numFmt formatCode="General" sourceLinked="1"/>
        <c:majorTickMark val="none"/>
        <c:minorTickMark val="none"/>
        <c:tickLblPos val="nextTo"/>
        <c:crossAx val="15464872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Pivots!$E$46:$E$50</c:f>
              <c:strCache>
                <c:ptCount val="5"/>
                <c:pt idx="0">
                  <c:v>R01</c:v>
                </c:pt>
                <c:pt idx="1">
                  <c:v>R02</c:v>
                </c:pt>
                <c:pt idx="2">
                  <c:v>R03</c:v>
                </c:pt>
                <c:pt idx="3">
                  <c:v>R04</c:v>
                </c:pt>
                <c:pt idx="4">
                  <c:v>R05</c:v>
                </c:pt>
              </c:strCache>
            </c:strRef>
          </c:cat>
          <c:val>
            <c:numRef>
              <c:f>Pivots!$G$46:$G$50</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FE15-4DDA-A9D7-760FA7B7AA6A}"/>
            </c:ext>
          </c:extLst>
        </c:ser>
        <c:ser>
          <c:idx val="1"/>
          <c:order val="1"/>
          <c:tx>
            <c:strRef>
              <c:f>Pivots!$I$45</c:f>
              <c:strCache>
                <c:ptCount val="1"/>
                <c:pt idx="0">
                  <c:v>sel.amount</c:v>
                </c:pt>
              </c:strCache>
            </c:strRef>
          </c:tx>
          <c:spPr>
            <a:gradFill>
              <a:gsLst>
                <a:gs pos="62000">
                  <a:schemeClr val="accent6"/>
                </a:gs>
                <a:gs pos="93000">
                  <a:schemeClr val="accent6">
                    <a:lumMod val="75000"/>
                  </a:schemeClr>
                </a:gs>
                <a:gs pos="27000">
                  <a:schemeClr val="accent6">
                    <a:lumMod val="60000"/>
                    <a:lumOff val="40000"/>
                  </a:schemeClr>
                </a:gs>
              </a:gsLst>
              <a:lin ang="0" scaled="1"/>
            </a:gradFill>
            <a:ln>
              <a:noFill/>
            </a:ln>
            <a:effectLst/>
          </c:spPr>
          <c:invertIfNegative val="0"/>
          <c:val>
            <c:numRef>
              <c:f>Pivots!$I$46:$I$50</c:f>
              <c:numCache>
                <c:formatCode>General</c:formatCode>
                <c:ptCount val="5"/>
                <c:pt idx="0">
                  <c:v>18415</c:v>
                </c:pt>
                <c:pt idx="1">
                  <c:v>#N/A</c:v>
                </c:pt>
                <c:pt idx="2">
                  <c:v>#N/A</c:v>
                </c:pt>
                <c:pt idx="3">
                  <c:v>#N/A</c:v>
                </c:pt>
                <c:pt idx="4">
                  <c:v>#N/A</c:v>
                </c:pt>
              </c:numCache>
            </c:numRef>
          </c:val>
          <c:extLst>
            <c:ext xmlns:c16="http://schemas.microsoft.com/office/drawing/2014/chart" uri="{C3380CC4-5D6E-409C-BE32-E72D297353CC}">
              <c16:uniqueId val="{00000001-FE15-4DDA-A9D7-760FA7B7AA6A}"/>
            </c:ext>
          </c:extLst>
        </c:ser>
        <c:dLbls>
          <c:showLegendKey val="0"/>
          <c:showVal val="0"/>
          <c:showCatName val="0"/>
          <c:showSerName val="0"/>
          <c:showPercent val="0"/>
          <c:showBubbleSize val="0"/>
        </c:dLbls>
        <c:gapWidth val="25"/>
        <c:overlap val="100"/>
        <c:axId val="1546487280"/>
        <c:axId val="1546488112"/>
      </c:barChart>
      <c:catAx>
        <c:axId val="1546487280"/>
        <c:scaling>
          <c:orientation val="maxMin"/>
        </c:scaling>
        <c:delete val="1"/>
        <c:axPos val="l"/>
        <c:numFmt formatCode="General" sourceLinked="1"/>
        <c:majorTickMark val="out"/>
        <c:minorTickMark val="none"/>
        <c:tickLblPos val="nextTo"/>
        <c:crossAx val="1546488112"/>
        <c:crosses val="autoZero"/>
        <c:auto val="1"/>
        <c:lblAlgn val="ctr"/>
        <c:lblOffset val="100"/>
        <c:noMultiLvlLbl val="0"/>
      </c:catAx>
      <c:valAx>
        <c:axId val="1546488112"/>
        <c:scaling>
          <c:orientation val="minMax"/>
        </c:scaling>
        <c:delete val="1"/>
        <c:axPos val="t"/>
        <c:numFmt formatCode="&quot;$&quot;#,###.0,&quot;k&quot;" sourceLinked="1"/>
        <c:majorTickMark val="out"/>
        <c:minorTickMark val="none"/>
        <c:tickLblPos val="nextTo"/>
        <c:crossAx val="15464872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Performance &amp; Sales Analysis Dashboard.xlsx]Pivots!PivotTable9</c:name>
    <c:fmtId val="4"/>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IN" sz="1600" b="1">
                <a:solidFill>
                  <a:schemeClr val="accent5"/>
                </a:solidFill>
                <a:latin typeface="Arial Black" panose="020B0A04020102020204" pitchFamily="34" charset="0"/>
              </a:rPr>
              <a:t>Female</a:t>
            </a:r>
            <a:r>
              <a:rPr lang="en-IN" sz="1600" b="1" baseline="0">
                <a:latin typeface="Arial Black" panose="020B0A04020102020204" pitchFamily="34" charset="0"/>
              </a:rPr>
              <a:t> vs. </a:t>
            </a:r>
            <a:r>
              <a:rPr lang="en-IN" sz="1600" b="1" baseline="0">
                <a:solidFill>
                  <a:schemeClr val="accent4"/>
                </a:solidFill>
                <a:latin typeface="Arial Black" panose="020B0A04020102020204" pitchFamily="34" charset="0"/>
              </a:rPr>
              <a:t>Male Callers</a:t>
            </a:r>
            <a:endParaRPr lang="en-IN" sz="1600" b="1">
              <a:solidFill>
                <a:schemeClr val="accent4"/>
              </a:solidFill>
              <a:latin typeface="Arial Black" panose="020B0A04020102020204" pitchFamily="34" charset="0"/>
            </a:endParaRPr>
          </a:p>
        </c:rich>
      </c:tx>
      <c:layout>
        <c:manualLayout>
          <c:xMode val="edge"/>
          <c:yMode val="edge"/>
          <c:x val="0.12722321954379823"/>
          <c:y val="3.7037076839253454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solidFill>
              <a:schemeClr val="accent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pivotFmt>
      <c:pivotFmt>
        <c:idx val="7"/>
        <c:spPr>
          <a:solidFill>
            <a:schemeClr val="accent5"/>
          </a:solidFill>
          <a:ln>
            <a:solidFill>
              <a:schemeClr val="accent5"/>
            </a:solidFill>
          </a:ln>
          <a:effectLst/>
        </c:spPr>
      </c:pivotFmt>
    </c:pivotFmts>
    <c:plotArea>
      <c:layout/>
      <c:barChart>
        <c:barDir val="col"/>
        <c:grouping val="percentStacked"/>
        <c:varyColors val="0"/>
        <c:ser>
          <c:idx val="0"/>
          <c:order val="0"/>
          <c:tx>
            <c:strRef>
              <c:f>Pivots!$B$71:$B$72</c:f>
              <c:strCache>
                <c:ptCount val="1"/>
                <c:pt idx="0">
                  <c:v>Female</c:v>
                </c:pt>
              </c:strCache>
            </c:strRef>
          </c:tx>
          <c:spPr>
            <a:solidFill>
              <a:schemeClr val="accent5"/>
            </a:solidFill>
            <a:ln>
              <a:solidFill>
                <a:schemeClr val="accent5"/>
              </a:solidFill>
            </a:ln>
            <a:effectLst/>
          </c:spPr>
          <c:invertIfNegative val="0"/>
          <c:dPt>
            <c:idx val="1"/>
            <c:invertIfNegative val="0"/>
            <c:bubble3D val="0"/>
            <c:spPr>
              <a:solidFill>
                <a:schemeClr val="accent5"/>
              </a:solidFill>
              <a:ln>
                <a:noFill/>
              </a:ln>
              <a:effectLst/>
            </c:spPr>
            <c:extLst>
              <c:ext xmlns:c16="http://schemas.microsoft.com/office/drawing/2014/chart" uri="{C3380CC4-5D6E-409C-BE32-E72D297353CC}">
                <c16:uniqueId val="{00000003-09C0-4A35-B5A9-236D60D3ADA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Pivots!$A$73:$A$76</c:f>
              <c:strCache>
                <c:ptCount val="3"/>
                <c:pt idx="0">
                  <c:v>Cincinnati</c:v>
                </c:pt>
                <c:pt idx="1">
                  <c:v>Cleveland</c:v>
                </c:pt>
                <c:pt idx="2">
                  <c:v>Columbus</c:v>
                </c:pt>
              </c:strCache>
            </c:strRef>
          </c:cat>
          <c:val>
            <c:numRef>
              <c:f>Pivots!$B$73:$B$76</c:f>
              <c:numCache>
                <c:formatCode>#,##0</c:formatCode>
                <c:ptCount val="3"/>
                <c:pt idx="0">
                  <c:v>144</c:v>
                </c:pt>
                <c:pt idx="1">
                  <c:v>326</c:v>
                </c:pt>
                <c:pt idx="2">
                  <c:v>129</c:v>
                </c:pt>
              </c:numCache>
            </c:numRef>
          </c:val>
          <c:extLst>
            <c:ext xmlns:c16="http://schemas.microsoft.com/office/drawing/2014/chart" uri="{C3380CC4-5D6E-409C-BE32-E72D297353CC}">
              <c16:uniqueId val="{00000000-09C0-4A35-B5A9-236D60D3ADAE}"/>
            </c:ext>
          </c:extLst>
        </c:ser>
        <c:ser>
          <c:idx val="1"/>
          <c:order val="1"/>
          <c:tx>
            <c:strRef>
              <c:f>Pivots!$C$71:$C$72</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Pivots!$A$73:$A$76</c:f>
              <c:strCache>
                <c:ptCount val="3"/>
                <c:pt idx="0">
                  <c:v>Cincinnati</c:v>
                </c:pt>
                <c:pt idx="1">
                  <c:v>Cleveland</c:v>
                </c:pt>
                <c:pt idx="2">
                  <c:v>Columbus</c:v>
                </c:pt>
              </c:strCache>
            </c:strRef>
          </c:cat>
          <c:val>
            <c:numRef>
              <c:f>Pivots!$C$73:$C$76</c:f>
              <c:numCache>
                <c:formatCode>#,##0</c:formatCode>
                <c:ptCount val="3"/>
                <c:pt idx="0">
                  <c:v>132</c:v>
                </c:pt>
                <c:pt idx="1">
                  <c:v>63</c:v>
                </c:pt>
                <c:pt idx="2">
                  <c:v>206</c:v>
                </c:pt>
              </c:numCache>
            </c:numRef>
          </c:val>
          <c:extLst>
            <c:ext xmlns:c16="http://schemas.microsoft.com/office/drawing/2014/chart" uri="{C3380CC4-5D6E-409C-BE32-E72D297353CC}">
              <c16:uniqueId val="{00000001-09C0-4A35-B5A9-236D60D3ADAE}"/>
            </c:ext>
          </c:extLst>
        </c:ser>
        <c:dLbls>
          <c:showLegendKey val="0"/>
          <c:showVal val="0"/>
          <c:showCatName val="0"/>
          <c:showSerName val="0"/>
          <c:showPercent val="0"/>
          <c:showBubbleSize val="0"/>
        </c:dLbls>
        <c:gapWidth val="25"/>
        <c:overlap val="100"/>
        <c:axId val="952930736"/>
        <c:axId val="952931152"/>
      </c:barChart>
      <c:catAx>
        <c:axId val="952930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931152"/>
        <c:crosses val="autoZero"/>
        <c:auto val="1"/>
        <c:lblAlgn val="ctr"/>
        <c:lblOffset val="100"/>
        <c:noMultiLvlLbl val="0"/>
      </c:catAx>
      <c:valAx>
        <c:axId val="952931152"/>
        <c:scaling>
          <c:orientation val="minMax"/>
        </c:scaling>
        <c:delete val="1"/>
        <c:axPos val="l"/>
        <c:numFmt formatCode="0%" sourceLinked="1"/>
        <c:majorTickMark val="none"/>
        <c:minorTickMark val="none"/>
        <c:tickLblPos val="nextTo"/>
        <c:crossAx val="9529307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Performance &amp; Sales Analysis Dashboard.xlsx]Pivots!rep satisfaction</c:name>
    <c:fmtId val="11"/>
  </c:pivotSource>
  <c:chart>
    <c:title>
      <c:tx>
        <c:rich>
          <a:bodyPr rot="0" spcFirstLastPara="1" vertOverflow="ellipsis" vert="horz" wrap="square" anchor="ctr" anchorCtr="1"/>
          <a:lstStyle/>
          <a:p>
            <a:pPr>
              <a:defRPr sz="1600" b="1" i="0" u="none" strike="noStrike" kern="1200" spc="0" baseline="0">
                <a:solidFill>
                  <a:schemeClr val="accent4"/>
                </a:solidFill>
                <a:latin typeface="+mn-lt"/>
                <a:ea typeface="+mn-ea"/>
                <a:cs typeface="+mn-cs"/>
              </a:defRPr>
            </a:pPr>
            <a:r>
              <a:rPr lang="en-IN" sz="1600" b="1">
                <a:solidFill>
                  <a:schemeClr val="accent4"/>
                </a:solidFill>
              </a:rPr>
              <a:t>Rating</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accent4"/>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2">
              <a:lumMod val="50000"/>
            </a:schemeClr>
          </a:solidFill>
          <a:ln>
            <a:noFill/>
          </a:ln>
          <a:effectLst/>
        </c:spPr>
      </c:pivotFmt>
    </c:pivotFmts>
    <c:plotArea>
      <c:layout/>
      <c:barChart>
        <c:barDir val="col"/>
        <c:grouping val="stacked"/>
        <c:varyColors val="0"/>
        <c:ser>
          <c:idx val="0"/>
          <c:order val="0"/>
          <c:tx>
            <c:strRef>
              <c:f>Pivots!$B$80</c:f>
              <c:strCache>
                <c:ptCount val="1"/>
                <c:pt idx="0">
                  <c:v>Total</c:v>
                </c:pt>
              </c:strCache>
            </c:strRef>
          </c:tx>
          <c:spPr>
            <a:solidFill>
              <a:schemeClr val="bg2">
                <a:lumMod val="50000"/>
              </a:schemeClr>
            </a:solidFill>
            <a:ln>
              <a:noFill/>
            </a:ln>
            <a:effectLst/>
          </c:spPr>
          <c:invertIfNegative val="0"/>
          <c:cat>
            <c:strRef>
              <c:f>Pivots!$A$81:$A$86</c:f>
              <c:strCache>
                <c:ptCount val="5"/>
                <c:pt idx="0">
                  <c:v>1</c:v>
                </c:pt>
                <c:pt idx="1">
                  <c:v>2</c:v>
                </c:pt>
                <c:pt idx="2">
                  <c:v>3</c:v>
                </c:pt>
                <c:pt idx="3">
                  <c:v>4</c:v>
                </c:pt>
                <c:pt idx="4">
                  <c:v>5</c:v>
                </c:pt>
              </c:strCache>
            </c:strRef>
          </c:cat>
          <c:val>
            <c:numRef>
              <c:f>Pivots!$B$81:$B$86</c:f>
              <c:numCache>
                <c:formatCode>#,##0</c:formatCode>
                <c:ptCount val="5"/>
                <c:pt idx="0">
                  <c:v>1</c:v>
                </c:pt>
                <c:pt idx="1">
                  <c:v>9</c:v>
                </c:pt>
                <c:pt idx="2">
                  <c:v>31</c:v>
                </c:pt>
                <c:pt idx="3">
                  <c:v>88</c:v>
                </c:pt>
                <c:pt idx="4">
                  <c:v>60</c:v>
                </c:pt>
              </c:numCache>
            </c:numRef>
          </c:val>
          <c:extLst>
            <c:ext xmlns:c16="http://schemas.microsoft.com/office/drawing/2014/chart" uri="{C3380CC4-5D6E-409C-BE32-E72D297353CC}">
              <c16:uniqueId val="{00000000-BD1C-48AC-BCC2-9BD7A49784CC}"/>
            </c:ext>
          </c:extLst>
        </c:ser>
        <c:dLbls>
          <c:showLegendKey val="0"/>
          <c:showVal val="0"/>
          <c:showCatName val="0"/>
          <c:showSerName val="0"/>
          <c:showPercent val="0"/>
          <c:showBubbleSize val="0"/>
        </c:dLbls>
        <c:gapWidth val="10"/>
        <c:overlap val="100"/>
        <c:axId val="1543909312"/>
        <c:axId val="1543913472"/>
      </c:barChart>
      <c:catAx>
        <c:axId val="15439093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3913472"/>
        <c:crosses val="autoZero"/>
        <c:auto val="1"/>
        <c:lblAlgn val="ctr"/>
        <c:lblOffset val="100"/>
        <c:noMultiLvlLbl val="0"/>
      </c:catAx>
      <c:valAx>
        <c:axId val="1543913472"/>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39093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2" Type="http://schemas.openxmlformats.org/officeDocument/2006/relationships/image" Target="../media/image2.sv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chart" Target="../charts/chart5.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8.svg"/><Relationship Id="rId3" Type="http://schemas.openxmlformats.org/officeDocument/2006/relationships/image" Target="../media/image13.png"/><Relationship Id="rId7" Type="http://schemas.openxmlformats.org/officeDocument/2006/relationships/image" Target="../media/image17.png"/><Relationship Id="rId12" Type="http://schemas.openxmlformats.org/officeDocument/2006/relationships/image" Target="../media/image22.svg"/><Relationship Id="rId2" Type="http://schemas.openxmlformats.org/officeDocument/2006/relationships/image" Target="../media/image12.svg"/><Relationship Id="rId1" Type="http://schemas.openxmlformats.org/officeDocument/2006/relationships/image" Target="../media/image11.png"/><Relationship Id="rId6" Type="http://schemas.openxmlformats.org/officeDocument/2006/relationships/image" Target="../media/image16.svg"/><Relationship Id="rId11" Type="http://schemas.openxmlformats.org/officeDocument/2006/relationships/image" Target="../media/image21.png"/><Relationship Id="rId5" Type="http://schemas.openxmlformats.org/officeDocument/2006/relationships/image" Target="../media/image15.png"/><Relationship Id="rId10" Type="http://schemas.openxmlformats.org/officeDocument/2006/relationships/image" Target="../media/image20.svg"/><Relationship Id="rId4" Type="http://schemas.openxmlformats.org/officeDocument/2006/relationships/image" Target="../media/image14.svg"/><Relationship Id="rId9"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xdr:from>
      <xdr:col>2</xdr:col>
      <xdr:colOff>0</xdr:colOff>
      <xdr:row>4</xdr:row>
      <xdr:rowOff>0</xdr:rowOff>
    </xdr:from>
    <xdr:to>
      <xdr:col>4</xdr:col>
      <xdr:colOff>381000</xdr:colOff>
      <xdr:row>10</xdr:row>
      <xdr:rowOff>70273</xdr:rowOff>
    </xdr:to>
    <xdr:sp macro="" textlink="Pivots!A4">
      <xdr:nvSpPr>
        <xdr:cNvPr id="2" name="Rectangle 1">
          <a:extLst>
            <a:ext uri="{FF2B5EF4-FFF2-40B4-BE49-F238E27FC236}">
              <a16:creationId xmlns:a16="http://schemas.microsoft.com/office/drawing/2014/main" id="{AF882522-2647-446E-BCB3-7749B4CACE60}"/>
            </a:ext>
          </a:extLst>
        </xdr:cNvPr>
        <xdr:cNvSpPr/>
      </xdr:nvSpPr>
      <xdr:spPr>
        <a:xfrm>
          <a:off x="483810" y="677333"/>
          <a:ext cx="1711476" cy="1086273"/>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ctr"/>
          <a:fld id="{4BB92473-A4B5-45EB-AB8D-0AECA17062C7}" type="TxLink">
            <a:rPr lang="en-US" sz="3200" b="0" i="0" u="none" strike="noStrike">
              <a:solidFill>
                <a:schemeClr val="bg1"/>
              </a:solidFill>
              <a:latin typeface="+mj-lt"/>
              <a:ea typeface="Microsoft Sans Serif"/>
              <a:cs typeface="Microsoft Sans Serif"/>
            </a:rPr>
            <a:pPr algn="ctr"/>
            <a:t>1,000</a:t>
          </a:fld>
          <a:endParaRPr lang="en-IN" sz="3200">
            <a:solidFill>
              <a:schemeClr val="bg1"/>
            </a:solidFill>
            <a:latin typeface="+mj-lt"/>
          </a:endParaRPr>
        </a:p>
      </xdr:txBody>
    </xdr:sp>
    <xdr:clientData/>
  </xdr:twoCellAnchor>
  <xdr:twoCellAnchor>
    <xdr:from>
      <xdr:col>2</xdr:col>
      <xdr:colOff>137160</xdr:colOff>
      <xdr:row>4</xdr:row>
      <xdr:rowOff>91440</xdr:rowOff>
    </xdr:from>
    <xdr:to>
      <xdr:col>4</xdr:col>
      <xdr:colOff>304800</xdr:colOff>
      <xdr:row>5</xdr:row>
      <xdr:rowOff>83820</xdr:rowOff>
    </xdr:to>
    <xdr:sp macro="" textlink="">
      <xdr:nvSpPr>
        <xdr:cNvPr id="3" name="TextBox 2">
          <a:extLst>
            <a:ext uri="{FF2B5EF4-FFF2-40B4-BE49-F238E27FC236}">
              <a16:creationId xmlns:a16="http://schemas.microsoft.com/office/drawing/2014/main" id="{861EE02C-AFC4-4AA2-AA56-44B12D99EEC6}"/>
            </a:ext>
          </a:extLst>
        </xdr:cNvPr>
        <xdr:cNvSpPr txBox="1"/>
      </xdr:nvSpPr>
      <xdr:spPr>
        <a:xfrm>
          <a:off x="609600" y="792480"/>
          <a:ext cx="1508760" cy="167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accent6">
                  <a:lumMod val="20000"/>
                  <a:lumOff val="80000"/>
                </a:schemeClr>
              </a:solidFill>
              <a:latin typeface="Arial Black" panose="020B0A04020102020204" pitchFamily="34" charset="0"/>
            </a:rPr>
            <a:t>Calls</a:t>
          </a:r>
        </a:p>
      </xdr:txBody>
    </xdr:sp>
    <xdr:clientData/>
  </xdr:twoCellAnchor>
  <xdr:twoCellAnchor editAs="oneCell">
    <xdr:from>
      <xdr:col>2</xdr:col>
      <xdr:colOff>103049</xdr:colOff>
      <xdr:row>4</xdr:row>
      <xdr:rowOff>67447</xdr:rowOff>
    </xdr:from>
    <xdr:to>
      <xdr:col>2</xdr:col>
      <xdr:colOff>298664</xdr:colOff>
      <xdr:row>5</xdr:row>
      <xdr:rowOff>70401</xdr:rowOff>
    </xdr:to>
    <xdr:pic>
      <xdr:nvPicPr>
        <xdr:cNvPr id="5" name="Graphic 4" descr="Receiver with solid fill">
          <a:extLst>
            <a:ext uri="{FF2B5EF4-FFF2-40B4-BE49-F238E27FC236}">
              <a16:creationId xmlns:a16="http://schemas.microsoft.com/office/drawing/2014/main" id="{38A8AF8A-09C3-45F0-82B7-9D62159AC5A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rot="548220">
          <a:off x="575489" y="768487"/>
          <a:ext cx="195615" cy="178214"/>
        </a:xfrm>
        <a:prstGeom prst="rect">
          <a:avLst/>
        </a:prstGeom>
      </xdr:spPr>
    </xdr:pic>
    <xdr:clientData/>
  </xdr:twoCellAnchor>
  <xdr:twoCellAnchor>
    <xdr:from>
      <xdr:col>2</xdr:col>
      <xdr:colOff>472440</xdr:colOff>
      <xdr:row>9</xdr:row>
      <xdr:rowOff>0</xdr:rowOff>
    </xdr:from>
    <xdr:to>
      <xdr:col>3</xdr:col>
      <xdr:colOff>594360</xdr:colOff>
      <xdr:row>9</xdr:row>
      <xdr:rowOff>167640</xdr:rowOff>
    </xdr:to>
    <xdr:sp macro="" textlink="Pivots!A14">
      <xdr:nvSpPr>
        <xdr:cNvPr id="6" name="TextBox 5">
          <a:extLst>
            <a:ext uri="{FF2B5EF4-FFF2-40B4-BE49-F238E27FC236}">
              <a16:creationId xmlns:a16="http://schemas.microsoft.com/office/drawing/2014/main" id="{E6E9C39B-2B2E-4252-86B3-35BD2FECF406}"/>
            </a:ext>
          </a:extLst>
        </xdr:cNvPr>
        <xdr:cNvSpPr txBox="1"/>
      </xdr:nvSpPr>
      <xdr:spPr>
        <a:xfrm>
          <a:off x="944880" y="1577340"/>
          <a:ext cx="792480" cy="167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6912855-3DB0-446E-A787-C920F39DF892}" type="TxLink">
            <a:rPr lang="en-US" sz="1200" b="0" i="0" u="none" strike="noStrike">
              <a:solidFill>
                <a:schemeClr val="accent6">
                  <a:lumMod val="20000"/>
                  <a:lumOff val="80000"/>
                </a:schemeClr>
              </a:solidFill>
              <a:latin typeface="Microsoft Sans Serif"/>
              <a:ea typeface="Microsoft Sans Serif"/>
              <a:cs typeface="Microsoft Sans Serif"/>
            </a:rPr>
            <a:pPr algn="ctr"/>
            <a:t>189</a:t>
          </a:fld>
          <a:endParaRPr lang="en-IN" sz="1200">
            <a:solidFill>
              <a:schemeClr val="accent6">
                <a:lumMod val="20000"/>
                <a:lumOff val="80000"/>
              </a:schemeClr>
            </a:solidFill>
          </a:endParaRPr>
        </a:p>
      </xdr:txBody>
    </xdr:sp>
    <xdr:clientData/>
  </xdr:twoCellAnchor>
  <xdr:twoCellAnchor>
    <xdr:from>
      <xdr:col>2</xdr:col>
      <xdr:colOff>0</xdr:colOff>
      <xdr:row>12</xdr:row>
      <xdr:rowOff>60476</xdr:rowOff>
    </xdr:from>
    <xdr:to>
      <xdr:col>4</xdr:col>
      <xdr:colOff>381000</xdr:colOff>
      <xdr:row>18</xdr:row>
      <xdr:rowOff>136676</xdr:rowOff>
    </xdr:to>
    <xdr:sp macro="" textlink="Pivots!B4">
      <xdr:nvSpPr>
        <xdr:cNvPr id="7" name="Rectangle 6">
          <a:extLst>
            <a:ext uri="{FF2B5EF4-FFF2-40B4-BE49-F238E27FC236}">
              <a16:creationId xmlns:a16="http://schemas.microsoft.com/office/drawing/2014/main" id="{1EB0B27E-B36C-4404-9FCA-D9A357812E60}"/>
            </a:ext>
          </a:extLst>
        </xdr:cNvPr>
        <xdr:cNvSpPr/>
      </xdr:nvSpPr>
      <xdr:spPr>
        <a:xfrm>
          <a:off x="483810" y="2092476"/>
          <a:ext cx="1711476" cy="109220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marL="0" indent="0" algn="ctr"/>
          <a:fld id="{98EBF3FD-0F2C-4394-AB1B-9B476AC87643}" type="TxLink">
            <a:rPr lang="en-US" sz="2800" b="0" i="0" u="none" strike="noStrike">
              <a:solidFill>
                <a:schemeClr val="bg1"/>
              </a:solidFill>
              <a:latin typeface="+mj-lt"/>
              <a:ea typeface="Microsoft Sans Serif"/>
              <a:cs typeface="Microsoft Sans Serif"/>
            </a:rPr>
            <a:pPr marL="0" indent="0" algn="ctr"/>
            <a:t>$96,623</a:t>
          </a:fld>
          <a:endParaRPr lang="en-IN" sz="2800" b="0" i="0" u="none" strike="noStrike">
            <a:solidFill>
              <a:schemeClr val="bg1"/>
            </a:solidFill>
            <a:latin typeface="+mj-lt"/>
            <a:ea typeface="Microsoft Sans Serif"/>
            <a:cs typeface="Microsoft Sans Serif"/>
          </a:endParaRPr>
        </a:p>
      </xdr:txBody>
    </xdr:sp>
    <xdr:clientData/>
  </xdr:twoCellAnchor>
  <xdr:twoCellAnchor>
    <xdr:from>
      <xdr:col>2</xdr:col>
      <xdr:colOff>198120</xdr:colOff>
      <xdr:row>12</xdr:row>
      <xdr:rowOff>160020</xdr:rowOff>
    </xdr:from>
    <xdr:to>
      <xdr:col>4</xdr:col>
      <xdr:colOff>365760</xdr:colOff>
      <xdr:row>13</xdr:row>
      <xdr:rowOff>152400</xdr:rowOff>
    </xdr:to>
    <xdr:sp macro="" textlink="">
      <xdr:nvSpPr>
        <xdr:cNvPr id="8" name="TextBox 7">
          <a:extLst>
            <a:ext uri="{FF2B5EF4-FFF2-40B4-BE49-F238E27FC236}">
              <a16:creationId xmlns:a16="http://schemas.microsoft.com/office/drawing/2014/main" id="{A4F7F8A1-B4F5-4995-831E-C38E643F2F41}"/>
            </a:ext>
          </a:extLst>
        </xdr:cNvPr>
        <xdr:cNvSpPr txBox="1"/>
      </xdr:nvSpPr>
      <xdr:spPr>
        <a:xfrm>
          <a:off x="670560" y="2263140"/>
          <a:ext cx="1508760" cy="167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accent6">
                  <a:lumMod val="20000"/>
                  <a:lumOff val="80000"/>
                </a:schemeClr>
              </a:solidFill>
              <a:latin typeface="Arial Black" panose="020B0A04020102020204" pitchFamily="34" charset="0"/>
            </a:rPr>
            <a:t>Amount</a:t>
          </a:r>
        </a:p>
      </xdr:txBody>
    </xdr:sp>
    <xdr:clientData/>
  </xdr:twoCellAnchor>
  <xdr:twoCellAnchor editAs="oneCell">
    <xdr:from>
      <xdr:col>2</xdr:col>
      <xdr:colOff>157469</xdr:colOff>
      <xdr:row>12</xdr:row>
      <xdr:rowOff>154413</xdr:rowOff>
    </xdr:from>
    <xdr:to>
      <xdr:col>2</xdr:col>
      <xdr:colOff>335683</xdr:colOff>
      <xdr:row>13</xdr:row>
      <xdr:rowOff>157367</xdr:rowOff>
    </xdr:to>
    <xdr:pic>
      <xdr:nvPicPr>
        <xdr:cNvPr id="9" name="Graphic 8">
          <a:extLst>
            <a:ext uri="{FF2B5EF4-FFF2-40B4-BE49-F238E27FC236}">
              <a16:creationId xmlns:a16="http://schemas.microsoft.com/office/drawing/2014/main" id="{51B5836D-C197-40AD-AFD1-CA6051396A2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rcRect/>
        <a:stretch/>
      </xdr:blipFill>
      <xdr:spPr>
        <a:xfrm>
          <a:off x="641279" y="2186413"/>
          <a:ext cx="178214" cy="172287"/>
        </a:xfrm>
        <a:prstGeom prst="rect">
          <a:avLst/>
        </a:prstGeom>
      </xdr:spPr>
    </xdr:pic>
    <xdr:clientData/>
  </xdr:twoCellAnchor>
  <xdr:twoCellAnchor>
    <xdr:from>
      <xdr:col>2</xdr:col>
      <xdr:colOff>533400</xdr:colOff>
      <xdr:row>17</xdr:row>
      <xdr:rowOff>68580</xdr:rowOff>
    </xdr:from>
    <xdr:to>
      <xdr:col>3</xdr:col>
      <xdr:colOff>655320</xdr:colOff>
      <xdr:row>18</xdr:row>
      <xdr:rowOff>60960</xdr:rowOff>
    </xdr:to>
    <xdr:sp macro="" textlink="Pivots!B14">
      <xdr:nvSpPr>
        <xdr:cNvPr id="10" name="TextBox 9">
          <a:extLst>
            <a:ext uri="{FF2B5EF4-FFF2-40B4-BE49-F238E27FC236}">
              <a16:creationId xmlns:a16="http://schemas.microsoft.com/office/drawing/2014/main" id="{5FDB5274-52EC-41AE-9FD0-62D1080EAD87}"/>
            </a:ext>
          </a:extLst>
        </xdr:cNvPr>
        <xdr:cNvSpPr txBox="1"/>
      </xdr:nvSpPr>
      <xdr:spPr>
        <a:xfrm>
          <a:off x="1005840" y="3048000"/>
          <a:ext cx="792480" cy="167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926F345-8A23-4808-B97B-C4D62B3ECCF9}" type="TxLink">
            <a:rPr lang="en-US" sz="1100" b="0" i="0" u="none" strike="noStrike">
              <a:solidFill>
                <a:schemeClr val="accent6">
                  <a:lumMod val="20000"/>
                  <a:lumOff val="80000"/>
                </a:schemeClr>
              </a:solidFill>
              <a:latin typeface="Microsoft Sans Serif"/>
              <a:ea typeface="Microsoft Sans Serif"/>
              <a:cs typeface="Microsoft Sans Serif"/>
            </a:rPr>
            <a:pPr algn="ctr"/>
            <a:t>$18,415</a:t>
          </a:fld>
          <a:endParaRPr lang="en-IN" sz="1200">
            <a:solidFill>
              <a:schemeClr val="accent6">
                <a:lumMod val="20000"/>
                <a:lumOff val="80000"/>
              </a:schemeClr>
            </a:solidFill>
          </a:endParaRPr>
        </a:p>
      </xdr:txBody>
    </xdr:sp>
    <xdr:clientData/>
  </xdr:twoCellAnchor>
  <xdr:twoCellAnchor>
    <xdr:from>
      <xdr:col>2</xdr:col>
      <xdr:colOff>0</xdr:colOff>
      <xdr:row>21</xdr:row>
      <xdr:rowOff>0</xdr:rowOff>
    </xdr:from>
    <xdr:to>
      <xdr:col>4</xdr:col>
      <xdr:colOff>381000</xdr:colOff>
      <xdr:row>27</xdr:row>
      <xdr:rowOff>76200</xdr:rowOff>
    </xdr:to>
    <xdr:sp macro="" textlink="Pivots!C4">
      <xdr:nvSpPr>
        <xdr:cNvPr id="11" name="Rectangle 10">
          <a:extLst>
            <a:ext uri="{FF2B5EF4-FFF2-40B4-BE49-F238E27FC236}">
              <a16:creationId xmlns:a16="http://schemas.microsoft.com/office/drawing/2014/main" id="{E7290A2F-6A61-401E-B6AA-DDB70FC9734E}"/>
            </a:ext>
          </a:extLst>
        </xdr:cNvPr>
        <xdr:cNvSpPr/>
      </xdr:nvSpPr>
      <xdr:spPr>
        <a:xfrm>
          <a:off x="483810" y="3556000"/>
          <a:ext cx="1711476" cy="109220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marL="0" indent="0" algn="ctr"/>
          <a:fld id="{274A1D5D-E47B-4295-BA82-ACA1CECBF5F1}" type="TxLink">
            <a:rPr lang="en-US" sz="2800" b="0" i="0" u="none" strike="noStrike">
              <a:solidFill>
                <a:schemeClr val="bg1"/>
              </a:solidFill>
              <a:latin typeface="+mj-lt"/>
              <a:ea typeface="Microsoft Sans Serif"/>
              <a:cs typeface="Microsoft Sans Serif"/>
            </a:rPr>
            <a:pPr marL="0" indent="0" algn="ctr"/>
            <a:t>89,850</a:t>
          </a:fld>
          <a:endParaRPr lang="en-IN" sz="2800" b="0" i="0" u="none" strike="noStrike">
            <a:solidFill>
              <a:schemeClr val="bg1"/>
            </a:solidFill>
            <a:latin typeface="+mj-lt"/>
            <a:ea typeface="Microsoft Sans Serif"/>
            <a:cs typeface="Microsoft Sans Serif"/>
          </a:endParaRPr>
        </a:p>
      </xdr:txBody>
    </xdr:sp>
    <xdr:clientData/>
  </xdr:twoCellAnchor>
  <xdr:twoCellAnchor>
    <xdr:from>
      <xdr:col>2</xdr:col>
      <xdr:colOff>151069</xdr:colOff>
      <xdr:row>21</xdr:row>
      <xdr:rowOff>152400</xdr:rowOff>
    </xdr:from>
    <xdr:to>
      <xdr:col>4</xdr:col>
      <xdr:colOff>318709</xdr:colOff>
      <xdr:row>22</xdr:row>
      <xdr:rowOff>144780</xdr:rowOff>
    </xdr:to>
    <xdr:sp macro="" textlink="">
      <xdr:nvSpPr>
        <xdr:cNvPr id="12" name="TextBox 11">
          <a:extLst>
            <a:ext uri="{FF2B5EF4-FFF2-40B4-BE49-F238E27FC236}">
              <a16:creationId xmlns:a16="http://schemas.microsoft.com/office/drawing/2014/main" id="{788DBA01-919A-4BF6-B5D9-1223CFA9582E}"/>
            </a:ext>
          </a:extLst>
        </xdr:cNvPr>
        <xdr:cNvSpPr txBox="1"/>
      </xdr:nvSpPr>
      <xdr:spPr>
        <a:xfrm>
          <a:off x="634879" y="3708400"/>
          <a:ext cx="1498116" cy="1617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accent6">
                  <a:lumMod val="20000"/>
                  <a:lumOff val="80000"/>
                </a:schemeClr>
              </a:solidFill>
              <a:latin typeface="Arial Black" panose="020B0A04020102020204" pitchFamily="34" charset="0"/>
            </a:rPr>
            <a:t>Duration</a:t>
          </a:r>
        </a:p>
      </xdr:txBody>
    </xdr:sp>
    <xdr:clientData/>
  </xdr:twoCellAnchor>
  <xdr:twoCellAnchor editAs="oneCell">
    <xdr:from>
      <xdr:col>2</xdr:col>
      <xdr:colOff>133356</xdr:colOff>
      <xdr:row>21</xdr:row>
      <xdr:rowOff>147991</xdr:rowOff>
    </xdr:from>
    <xdr:to>
      <xdr:col>2</xdr:col>
      <xdr:colOff>314929</xdr:colOff>
      <xdr:row>22</xdr:row>
      <xdr:rowOff>154304</xdr:rowOff>
    </xdr:to>
    <xdr:pic>
      <xdr:nvPicPr>
        <xdr:cNvPr id="13" name="Graphic 12">
          <a:extLst>
            <a:ext uri="{FF2B5EF4-FFF2-40B4-BE49-F238E27FC236}">
              <a16:creationId xmlns:a16="http://schemas.microsoft.com/office/drawing/2014/main" id="{F332F000-C819-4EEC-B634-E08554589F5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a:stretch/>
      </xdr:blipFill>
      <xdr:spPr>
        <a:xfrm rot="163896">
          <a:off x="617166" y="3703991"/>
          <a:ext cx="181573" cy="175646"/>
        </a:xfrm>
        <a:prstGeom prst="rect">
          <a:avLst/>
        </a:prstGeom>
      </xdr:spPr>
    </xdr:pic>
    <xdr:clientData/>
  </xdr:twoCellAnchor>
  <xdr:twoCellAnchor>
    <xdr:from>
      <xdr:col>2</xdr:col>
      <xdr:colOff>486349</xdr:colOff>
      <xdr:row>26</xdr:row>
      <xdr:rowOff>60960</xdr:rowOff>
    </xdr:from>
    <xdr:to>
      <xdr:col>3</xdr:col>
      <xdr:colOff>608269</xdr:colOff>
      <xdr:row>27</xdr:row>
      <xdr:rowOff>53340</xdr:rowOff>
    </xdr:to>
    <xdr:sp macro="" textlink="Pivots!C14">
      <xdr:nvSpPr>
        <xdr:cNvPr id="14" name="TextBox 13">
          <a:extLst>
            <a:ext uri="{FF2B5EF4-FFF2-40B4-BE49-F238E27FC236}">
              <a16:creationId xmlns:a16="http://schemas.microsoft.com/office/drawing/2014/main" id="{C11F977A-F7C6-4865-BF24-07AEFD1896C2}"/>
            </a:ext>
          </a:extLst>
        </xdr:cNvPr>
        <xdr:cNvSpPr txBox="1"/>
      </xdr:nvSpPr>
      <xdr:spPr>
        <a:xfrm>
          <a:off x="970159" y="4463627"/>
          <a:ext cx="787158" cy="1617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B1146CF-28D1-4D48-9B24-52757D7BA6FF}" type="TxLink">
            <a:rPr lang="en-US" sz="1100" b="0" i="0" u="none" strike="noStrike">
              <a:solidFill>
                <a:schemeClr val="accent6">
                  <a:lumMod val="20000"/>
                  <a:lumOff val="80000"/>
                </a:schemeClr>
              </a:solidFill>
              <a:latin typeface="Microsoft Sans Serif"/>
              <a:ea typeface="Microsoft Sans Serif"/>
              <a:cs typeface="Microsoft Sans Serif"/>
            </a:rPr>
            <a:pPr algn="ctr"/>
            <a:t>16,834</a:t>
          </a:fld>
          <a:endParaRPr lang="en-IN" sz="1200">
            <a:solidFill>
              <a:schemeClr val="accent6">
                <a:lumMod val="20000"/>
                <a:lumOff val="80000"/>
              </a:schemeClr>
            </a:solidFill>
          </a:endParaRPr>
        </a:p>
      </xdr:txBody>
    </xdr:sp>
    <xdr:clientData/>
  </xdr:twoCellAnchor>
  <xdr:twoCellAnchor>
    <xdr:from>
      <xdr:col>2</xdr:col>
      <xdr:colOff>0</xdr:colOff>
      <xdr:row>29</xdr:row>
      <xdr:rowOff>60476</xdr:rowOff>
    </xdr:from>
    <xdr:to>
      <xdr:col>4</xdr:col>
      <xdr:colOff>381000</xdr:colOff>
      <xdr:row>35</xdr:row>
      <xdr:rowOff>130749</xdr:rowOff>
    </xdr:to>
    <xdr:sp macro="" textlink="Pivots!D4">
      <xdr:nvSpPr>
        <xdr:cNvPr id="15" name="Rectangle 14">
          <a:extLst>
            <a:ext uri="{FF2B5EF4-FFF2-40B4-BE49-F238E27FC236}">
              <a16:creationId xmlns:a16="http://schemas.microsoft.com/office/drawing/2014/main" id="{B10080D1-C2B2-4CF6-A6E4-17D9CB87C348}"/>
            </a:ext>
          </a:extLst>
        </xdr:cNvPr>
        <xdr:cNvSpPr/>
      </xdr:nvSpPr>
      <xdr:spPr>
        <a:xfrm>
          <a:off x="483810" y="4971143"/>
          <a:ext cx="1711476" cy="1086273"/>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marL="0" indent="0" algn="ctr"/>
          <a:fld id="{3F5B7793-50B1-4F7D-972E-ED24A2341416}" type="TxLink">
            <a:rPr lang="en-US" sz="2800" b="0" i="0" u="none" strike="noStrike">
              <a:solidFill>
                <a:schemeClr val="bg1"/>
              </a:solidFill>
              <a:latin typeface="+mj-lt"/>
              <a:ea typeface="Microsoft Sans Serif"/>
              <a:cs typeface="Microsoft Sans Serif"/>
            </a:rPr>
            <a:pPr marL="0" indent="0" algn="ctr"/>
            <a:t>3.9</a:t>
          </a:fld>
          <a:endParaRPr lang="en-IN" sz="2800" b="0" i="0" u="none" strike="noStrike">
            <a:solidFill>
              <a:schemeClr val="bg1"/>
            </a:solidFill>
            <a:latin typeface="+mj-lt"/>
            <a:ea typeface="Microsoft Sans Serif"/>
            <a:cs typeface="Microsoft Sans Serif"/>
          </a:endParaRPr>
        </a:p>
      </xdr:txBody>
    </xdr:sp>
    <xdr:clientData/>
  </xdr:twoCellAnchor>
  <xdr:twoCellAnchor>
    <xdr:from>
      <xdr:col>2</xdr:col>
      <xdr:colOff>190500</xdr:colOff>
      <xdr:row>30</xdr:row>
      <xdr:rowOff>37616</xdr:rowOff>
    </xdr:from>
    <xdr:to>
      <xdr:col>4</xdr:col>
      <xdr:colOff>358140</xdr:colOff>
      <xdr:row>31</xdr:row>
      <xdr:rowOff>29996</xdr:rowOff>
    </xdr:to>
    <xdr:sp macro="" textlink="">
      <xdr:nvSpPr>
        <xdr:cNvPr id="16" name="TextBox 15">
          <a:extLst>
            <a:ext uri="{FF2B5EF4-FFF2-40B4-BE49-F238E27FC236}">
              <a16:creationId xmlns:a16="http://schemas.microsoft.com/office/drawing/2014/main" id="{89F8EA6A-7901-4537-8997-B3D7CC6FE224}"/>
            </a:ext>
          </a:extLst>
        </xdr:cNvPr>
        <xdr:cNvSpPr txBox="1"/>
      </xdr:nvSpPr>
      <xdr:spPr>
        <a:xfrm>
          <a:off x="674310" y="5117616"/>
          <a:ext cx="1498116" cy="1617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accent6">
                  <a:lumMod val="20000"/>
                  <a:lumOff val="80000"/>
                </a:schemeClr>
              </a:solidFill>
              <a:latin typeface="Arial Black" panose="020B0A04020102020204" pitchFamily="34" charset="0"/>
            </a:rPr>
            <a:t>Avg</a:t>
          </a:r>
          <a:r>
            <a:rPr lang="en-IN" sz="1100" b="1" baseline="0">
              <a:solidFill>
                <a:schemeClr val="accent6">
                  <a:lumMod val="20000"/>
                  <a:lumOff val="80000"/>
                </a:schemeClr>
              </a:solidFill>
              <a:latin typeface="Arial Black" panose="020B0A04020102020204" pitchFamily="34" charset="0"/>
            </a:rPr>
            <a:t> Rating</a:t>
          </a:r>
          <a:endParaRPr lang="en-IN" sz="1100" b="1">
            <a:solidFill>
              <a:schemeClr val="accent6">
                <a:lumMod val="20000"/>
                <a:lumOff val="80000"/>
              </a:schemeClr>
            </a:solidFill>
            <a:latin typeface="Arial Black" panose="020B0A04020102020204" pitchFamily="34" charset="0"/>
          </a:endParaRPr>
        </a:p>
      </xdr:txBody>
    </xdr:sp>
    <xdr:clientData/>
  </xdr:twoCellAnchor>
  <xdr:twoCellAnchor editAs="oneCell">
    <xdr:from>
      <xdr:col>2</xdr:col>
      <xdr:colOff>171099</xdr:colOff>
      <xdr:row>29</xdr:row>
      <xdr:rowOff>168871</xdr:rowOff>
    </xdr:from>
    <xdr:to>
      <xdr:col>2</xdr:col>
      <xdr:colOff>407595</xdr:colOff>
      <xdr:row>31</xdr:row>
      <xdr:rowOff>17231</xdr:rowOff>
    </xdr:to>
    <xdr:pic>
      <xdr:nvPicPr>
        <xdr:cNvPr id="17" name="Graphic 16">
          <a:extLst>
            <a:ext uri="{FF2B5EF4-FFF2-40B4-BE49-F238E27FC236}">
              <a16:creationId xmlns:a16="http://schemas.microsoft.com/office/drawing/2014/main" id="{EEEA2112-0E0B-441E-B783-4BEB0E9FD508}"/>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rcRect/>
        <a:stretch/>
      </xdr:blipFill>
      <xdr:spPr>
        <a:xfrm rot="21415062">
          <a:off x="654909" y="5079538"/>
          <a:ext cx="236496" cy="230569"/>
        </a:xfrm>
        <a:prstGeom prst="rect">
          <a:avLst/>
        </a:prstGeom>
      </xdr:spPr>
    </xdr:pic>
    <xdr:clientData/>
  </xdr:twoCellAnchor>
  <xdr:twoCellAnchor>
    <xdr:from>
      <xdr:col>2</xdr:col>
      <xdr:colOff>525780</xdr:colOff>
      <xdr:row>34</xdr:row>
      <xdr:rowOff>121436</xdr:rowOff>
    </xdr:from>
    <xdr:to>
      <xdr:col>3</xdr:col>
      <xdr:colOff>647700</xdr:colOff>
      <xdr:row>35</xdr:row>
      <xdr:rowOff>113816</xdr:rowOff>
    </xdr:to>
    <xdr:sp macro="" textlink="Pivots!D14">
      <xdr:nvSpPr>
        <xdr:cNvPr id="18" name="TextBox 17">
          <a:extLst>
            <a:ext uri="{FF2B5EF4-FFF2-40B4-BE49-F238E27FC236}">
              <a16:creationId xmlns:a16="http://schemas.microsoft.com/office/drawing/2014/main" id="{DA6F6306-1FC4-44E8-B363-B6332C77A1FB}"/>
            </a:ext>
          </a:extLst>
        </xdr:cNvPr>
        <xdr:cNvSpPr txBox="1"/>
      </xdr:nvSpPr>
      <xdr:spPr>
        <a:xfrm>
          <a:off x="1009590" y="5878769"/>
          <a:ext cx="787158" cy="161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6A1EEC1-6326-468F-815D-7DB6992FDAE2}" type="TxLink">
            <a:rPr lang="en-US" sz="1100" b="0" i="0" u="none" strike="noStrike">
              <a:solidFill>
                <a:schemeClr val="accent6">
                  <a:lumMod val="20000"/>
                  <a:lumOff val="80000"/>
                </a:schemeClr>
              </a:solidFill>
              <a:latin typeface="Microsoft Sans Serif"/>
              <a:ea typeface="Microsoft Sans Serif"/>
              <a:cs typeface="Microsoft Sans Serif"/>
            </a:rPr>
            <a:pPr algn="ctr"/>
            <a:t>3.9</a:t>
          </a:fld>
          <a:endParaRPr lang="en-IN" sz="1200">
            <a:solidFill>
              <a:schemeClr val="accent6">
                <a:lumMod val="20000"/>
                <a:lumOff val="80000"/>
              </a:schemeClr>
            </a:solidFill>
          </a:endParaRPr>
        </a:p>
      </xdr:txBody>
    </xdr:sp>
    <xdr:clientData/>
  </xdr:twoCellAnchor>
  <xdr:twoCellAnchor>
    <xdr:from>
      <xdr:col>2</xdr:col>
      <xdr:colOff>0</xdr:colOff>
      <xdr:row>37</xdr:row>
      <xdr:rowOff>133048</xdr:rowOff>
    </xdr:from>
    <xdr:to>
      <xdr:col>4</xdr:col>
      <xdr:colOff>381000</xdr:colOff>
      <xdr:row>44</xdr:row>
      <xdr:rowOff>39914</xdr:rowOff>
    </xdr:to>
    <xdr:sp macro="" textlink="Pivots!E4">
      <xdr:nvSpPr>
        <xdr:cNvPr id="19" name="Rectangle 18">
          <a:extLst>
            <a:ext uri="{FF2B5EF4-FFF2-40B4-BE49-F238E27FC236}">
              <a16:creationId xmlns:a16="http://schemas.microsoft.com/office/drawing/2014/main" id="{2F99CDAF-A921-4258-B83F-830280911109}"/>
            </a:ext>
          </a:extLst>
        </xdr:cNvPr>
        <xdr:cNvSpPr/>
      </xdr:nvSpPr>
      <xdr:spPr>
        <a:xfrm>
          <a:off x="483810" y="6398381"/>
          <a:ext cx="1711476" cy="109220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marL="0" indent="0" algn="ctr"/>
          <a:fld id="{5B32AC57-F572-425F-B6F1-46DBC7E86395}" type="TxLink">
            <a:rPr lang="en-US" sz="2800" b="0" i="0" u="none" strike="noStrike">
              <a:solidFill>
                <a:schemeClr val="bg1"/>
              </a:solidFill>
              <a:latin typeface="+mj-lt"/>
              <a:ea typeface="Microsoft Sans Serif"/>
              <a:cs typeface="Microsoft Sans Serif"/>
            </a:rPr>
            <a:pPr marL="0" indent="0" algn="ctr"/>
            <a:t>307</a:t>
          </a:fld>
          <a:endParaRPr lang="en-IN" sz="2800" b="0" i="0" u="none" strike="noStrike">
            <a:solidFill>
              <a:schemeClr val="bg1"/>
            </a:solidFill>
            <a:latin typeface="+mj-lt"/>
            <a:ea typeface="Microsoft Sans Serif"/>
            <a:cs typeface="Microsoft Sans Serif"/>
          </a:endParaRPr>
        </a:p>
      </xdr:txBody>
    </xdr:sp>
    <xdr:clientData/>
  </xdr:twoCellAnchor>
  <xdr:twoCellAnchor>
    <xdr:from>
      <xdr:col>2</xdr:col>
      <xdr:colOff>102930</xdr:colOff>
      <xdr:row>38</xdr:row>
      <xdr:rowOff>85634</xdr:rowOff>
    </xdr:from>
    <xdr:to>
      <xdr:col>4</xdr:col>
      <xdr:colOff>270570</xdr:colOff>
      <xdr:row>39</xdr:row>
      <xdr:rowOff>78014</xdr:rowOff>
    </xdr:to>
    <xdr:sp macro="" textlink="">
      <xdr:nvSpPr>
        <xdr:cNvPr id="20" name="TextBox 19">
          <a:extLst>
            <a:ext uri="{FF2B5EF4-FFF2-40B4-BE49-F238E27FC236}">
              <a16:creationId xmlns:a16="http://schemas.microsoft.com/office/drawing/2014/main" id="{5D7E4A48-0AC3-42C4-8F42-9DEAED6F9480}"/>
            </a:ext>
          </a:extLst>
        </xdr:cNvPr>
        <xdr:cNvSpPr txBox="1"/>
      </xdr:nvSpPr>
      <xdr:spPr>
        <a:xfrm>
          <a:off x="586740" y="6520301"/>
          <a:ext cx="1498116" cy="1617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accent6">
                  <a:lumMod val="20000"/>
                  <a:lumOff val="80000"/>
                </a:schemeClr>
              </a:solidFill>
              <a:latin typeface="Arial Black" panose="020B0A04020102020204" pitchFamily="34" charset="0"/>
            </a:rPr>
            <a:t>Happy</a:t>
          </a:r>
          <a:r>
            <a:rPr lang="en-IN" sz="1100" b="1" baseline="0">
              <a:solidFill>
                <a:schemeClr val="accent6">
                  <a:lumMod val="20000"/>
                  <a:lumOff val="80000"/>
                </a:schemeClr>
              </a:solidFill>
              <a:latin typeface="Arial Black" panose="020B0A04020102020204" pitchFamily="34" charset="0"/>
            </a:rPr>
            <a:t> Callers</a:t>
          </a:r>
          <a:endParaRPr lang="en-IN" sz="1100" b="1">
            <a:solidFill>
              <a:schemeClr val="accent6">
                <a:lumMod val="20000"/>
                <a:lumOff val="80000"/>
              </a:schemeClr>
            </a:solidFill>
            <a:latin typeface="Arial Black" panose="020B0A04020102020204" pitchFamily="34" charset="0"/>
          </a:endParaRPr>
        </a:p>
      </xdr:txBody>
    </xdr:sp>
    <xdr:clientData/>
  </xdr:twoCellAnchor>
  <xdr:twoCellAnchor editAs="oneCell">
    <xdr:from>
      <xdr:col>2</xdr:col>
      <xdr:colOff>47039</xdr:colOff>
      <xdr:row>38</xdr:row>
      <xdr:rowOff>55154</xdr:rowOff>
    </xdr:from>
    <xdr:to>
      <xdr:col>2</xdr:col>
      <xdr:colOff>269841</xdr:colOff>
      <xdr:row>39</xdr:row>
      <xdr:rowOff>80925</xdr:rowOff>
    </xdr:to>
    <xdr:pic>
      <xdr:nvPicPr>
        <xdr:cNvPr id="21" name="Graphic 20">
          <a:extLst>
            <a:ext uri="{FF2B5EF4-FFF2-40B4-BE49-F238E27FC236}">
              <a16:creationId xmlns:a16="http://schemas.microsoft.com/office/drawing/2014/main" id="{B7C43501-A0B8-4D09-98DA-F167E85C2A62}"/>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rcRect/>
        <a:stretch/>
      </xdr:blipFill>
      <xdr:spPr>
        <a:xfrm>
          <a:off x="530849" y="6489821"/>
          <a:ext cx="222802" cy="216875"/>
        </a:xfrm>
        <a:prstGeom prst="rect">
          <a:avLst/>
        </a:prstGeom>
      </xdr:spPr>
    </xdr:pic>
    <xdr:clientData/>
  </xdr:twoCellAnchor>
  <xdr:twoCellAnchor>
    <xdr:from>
      <xdr:col>2</xdr:col>
      <xdr:colOff>438210</xdr:colOff>
      <xdr:row>42</xdr:row>
      <xdr:rowOff>163528</xdr:rowOff>
    </xdr:from>
    <xdr:to>
      <xdr:col>3</xdr:col>
      <xdr:colOff>560130</xdr:colOff>
      <xdr:row>43</xdr:row>
      <xdr:rowOff>155908</xdr:rowOff>
    </xdr:to>
    <xdr:sp macro="" textlink="Pivots!E14">
      <xdr:nvSpPr>
        <xdr:cNvPr id="22" name="TextBox 21">
          <a:extLst>
            <a:ext uri="{FF2B5EF4-FFF2-40B4-BE49-F238E27FC236}">
              <a16:creationId xmlns:a16="http://schemas.microsoft.com/office/drawing/2014/main" id="{E760888A-2C69-40DA-8CFF-1ABE0B1555BF}"/>
            </a:ext>
          </a:extLst>
        </xdr:cNvPr>
        <xdr:cNvSpPr txBox="1"/>
      </xdr:nvSpPr>
      <xdr:spPr>
        <a:xfrm>
          <a:off x="922020" y="7275528"/>
          <a:ext cx="787158" cy="1617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96DB063-7298-438D-BDFB-30D640C4B025}" type="TxLink">
            <a:rPr lang="en-US" sz="1100" b="0" i="0" u="none" strike="noStrike">
              <a:solidFill>
                <a:schemeClr val="accent6">
                  <a:lumMod val="20000"/>
                  <a:lumOff val="80000"/>
                </a:schemeClr>
              </a:solidFill>
              <a:latin typeface="Microsoft Sans Serif"/>
              <a:ea typeface="Microsoft Sans Serif"/>
              <a:cs typeface="Microsoft Sans Serif"/>
            </a:rPr>
            <a:pPr algn="ctr"/>
            <a:t>60</a:t>
          </a:fld>
          <a:endParaRPr lang="en-IN" sz="1200">
            <a:solidFill>
              <a:schemeClr val="accent6">
                <a:lumMod val="20000"/>
                <a:lumOff val="80000"/>
              </a:schemeClr>
            </a:solidFill>
          </a:endParaRPr>
        </a:p>
      </xdr:txBody>
    </xdr:sp>
    <xdr:clientData/>
  </xdr:twoCellAnchor>
  <xdr:twoCellAnchor editAs="oneCell">
    <xdr:from>
      <xdr:col>14</xdr:col>
      <xdr:colOff>328869</xdr:colOff>
      <xdr:row>22</xdr:row>
      <xdr:rowOff>12097</xdr:rowOff>
    </xdr:from>
    <xdr:to>
      <xdr:col>16</xdr:col>
      <xdr:colOff>370115</xdr:colOff>
      <xdr:row>34</xdr:row>
      <xdr:rowOff>43544</xdr:rowOff>
    </xdr:to>
    <mc:AlternateContent xmlns:mc="http://schemas.openxmlformats.org/markup-compatibility/2006" xmlns:a14="http://schemas.microsoft.com/office/drawing/2010/main">
      <mc:Choice Requires="a14">
        <xdr:graphicFrame macro="">
          <xdr:nvGraphicFramePr>
            <xdr:cNvPr id="23" name="Representative">
              <a:extLst>
                <a:ext uri="{FF2B5EF4-FFF2-40B4-BE49-F238E27FC236}">
                  <a16:creationId xmlns:a16="http://schemas.microsoft.com/office/drawing/2014/main" id="{59490B39-5A3C-4517-8047-0891E1428F1D}"/>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8795536" y="3737429"/>
              <a:ext cx="1543050" cy="24190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84666</xdr:colOff>
      <xdr:row>4</xdr:row>
      <xdr:rowOff>0</xdr:rowOff>
    </xdr:from>
    <xdr:to>
      <xdr:col>12</xdr:col>
      <xdr:colOff>0</xdr:colOff>
      <xdr:row>20</xdr:row>
      <xdr:rowOff>33866</xdr:rowOff>
    </xdr:to>
    <xdr:graphicFrame macro="">
      <xdr:nvGraphicFramePr>
        <xdr:cNvPr id="24" name="Chart 23">
          <a:extLst>
            <a:ext uri="{FF2B5EF4-FFF2-40B4-BE49-F238E27FC236}">
              <a16:creationId xmlns:a16="http://schemas.microsoft.com/office/drawing/2014/main" id="{D057B048-57B9-4F6A-9E63-96554678F2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12095</xdr:colOff>
      <xdr:row>21</xdr:row>
      <xdr:rowOff>84667</xdr:rowOff>
    </xdr:from>
    <xdr:to>
      <xdr:col>14</xdr:col>
      <xdr:colOff>314476</xdr:colOff>
      <xdr:row>44</xdr:row>
      <xdr:rowOff>48381</xdr:rowOff>
    </xdr:to>
    <xdr:sp macro="" textlink="">
      <xdr:nvSpPr>
        <xdr:cNvPr id="28" name="Rectangle 27">
          <a:extLst>
            <a:ext uri="{FF2B5EF4-FFF2-40B4-BE49-F238E27FC236}">
              <a16:creationId xmlns:a16="http://schemas.microsoft.com/office/drawing/2014/main" id="{207807A2-8D22-4316-B9E5-CC491CA757A4}"/>
            </a:ext>
          </a:extLst>
        </xdr:cNvPr>
        <xdr:cNvSpPr/>
      </xdr:nvSpPr>
      <xdr:spPr>
        <a:xfrm>
          <a:off x="2491619" y="3640667"/>
          <a:ext cx="6289524" cy="385838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362858</xdr:colOff>
      <xdr:row>4</xdr:row>
      <xdr:rowOff>0</xdr:rowOff>
    </xdr:from>
    <xdr:to>
      <xdr:col>16</xdr:col>
      <xdr:colOff>0</xdr:colOff>
      <xdr:row>20</xdr:row>
      <xdr:rowOff>0</xdr:rowOff>
    </xdr:to>
    <xdr:graphicFrame macro="">
      <xdr:nvGraphicFramePr>
        <xdr:cNvPr id="25" name="Chart 24">
          <a:extLst>
            <a:ext uri="{FF2B5EF4-FFF2-40B4-BE49-F238E27FC236}">
              <a16:creationId xmlns:a16="http://schemas.microsoft.com/office/drawing/2014/main" id="{4F0E0019-0961-4FF4-BDCF-69A0661D1E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0</xdr:colOff>
      <xdr:row>22</xdr:row>
      <xdr:rowOff>1</xdr:rowOff>
    </xdr:from>
    <xdr:to>
      <xdr:col>10</xdr:col>
      <xdr:colOff>0</xdr:colOff>
      <xdr:row>44</xdr:row>
      <xdr:rowOff>1</xdr:rowOff>
    </xdr:to>
    <xdr:graphicFrame macro="">
      <xdr:nvGraphicFramePr>
        <xdr:cNvPr id="26" name="Chart 25">
          <a:extLst>
            <a:ext uri="{FF2B5EF4-FFF2-40B4-BE49-F238E27FC236}">
              <a16:creationId xmlns:a16="http://schemas.microsoft.com/office/drawing/2014/main" id="{F3BD91C5-579E-425C-AC69-279494F495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350762</xdr:colOff>
      <xdr:row>22</xdr:row>
      <xdr:rowOff>0</xdr:rowOff>
    </xdr:from>
    <xdr:to>
      <xdr:col>14</xdr:col>
      <xdr:colOff>350762</xdr:colOff>
      <xdr:row>44</xdr:row>
      <xdr:rowOff>1</xdr:rowOff>
    </xdr:to>
    <xdr:graphicFrame macro="">
      <xdr:nvGraphicFramePr>
        <xdr:cNvPr id="27" name="Chart 26">
          <a:extLst>
            <a:ext uri="{FF2B5EF4-FFF2-40B4-BE49-F238E27FC236}">
              <a16:creationId xmlns:a16="http://schemas.microsoft.com/office/drawing/2014/main" id="{37036714-AF36-4C74-A5DC-621734DCD2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16</xdr:col>
      <xdr:colOff>556380</xdr:colOff>
      <xdr:row>3</xdr:row>
      <xdr:rowOff>133049</xdr:rowOff>
    </xdr:from>
    <xdr:to>
      <xdr:col>22</xdr:col>
      <xdr:colOff>36286</xdr:colOff>
      <xdr:row>20</xdr:row>
      <xdr:rowOff>36286</xdr:rowOff>
    </xdr:to>
    <xdr:graphicFrame macro="">
      <xdr:nvGraphicFramePr>
        <xdr:cNvPr id="29" name="Chart 28">
          <a:extLst>
            <a:ext uri="{FF2B5EF4-FFF2-40B4-BE49-F238E27FC236}">
              <a16:creationId xmlns:a16="http://schemas.microsoft.com/office/drawing/2014/main" id="{4FCA5B15-A2BF-4E68-B85E-CACE9809EE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22</xdr:col>
      <xdr:colOff>145143</xdr:colOff>
      <xdr:row>3</xdr:row>
      <xdr:rowOff>120952</xdr:rowOff>
    </xdr:from>
    <xdr:to>
      <xdr:col>28</xdr:col>
      <xdr:colOff>169333</xdr:colOff>
      <xdr:row>20</xdr:row>
      <xdr:rowOff>48380</xdr:rowOff>
    </xdr:to>
    <xdr:graphicFrame macro="">
      <xdr:nvGraphicFramePr>
        <xdr:cNvPr id="30" name="Chart 29">
          <a:extLst>
            <a:ext uri="{FF2B5EF4-FFF2-40B4-BE49-F238E27FC236}">
              <a16:creationId xmlns:a16="http://schemas.microsoft.com/office/drawing/2014/main" id="{656BB189-DA94-4621-A291-AC95B8D2C9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148836</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317553</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156630</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may" refreshedDate="46230.037494675926" backgroundQuery="1" createdVersion="7" refreshedVersion="7" minRefreshableVersion="3" recordCount="0" supportSubquery="1" supportAdvancedDrill="1" xr:uid="{8A45483E-D0D2-45AD-915A-3758BD1B000A}">
  <cacheSource type="external" connectionId="1"/>
  <cacheFields count="5">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erage Rating]" caption="Average Rating" numFmtId="0" hierarchy="20" level="32767"/>
    <cacheField name="[Measures].[5 star Rating]" caption="5 star Rating" numFmtId="0" hierarchy="21"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erage Rating]" caption="Average Rating" measure="1" displayFolder="" measureGroup="calls" count="0" oneField="1">
      <fieldsUsage count="1">
        <fieldUsage x="3"/>
      </fieldsUsage>
    </cacheHierarchy>
    <cacheHierarchy uniqueName="[Measures].[5 star Rating]" caption="5 star Rating"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may" refreshedDate="46230.037495833334" backgroundQuery="1" createdVersion="7" refreshedVersion="7" minRefreshableVersion="3" recordCount="0" supportSubquery="1" supportAdvancedDrill="1" xr:uid="{0269E582-E1D2-4792-93BF-F7D9D3B58F35}">
  <cacheSource type="external" connectionId="1"/>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Total Amount]" caption="Total Amount" numFmtId="0" hierarchy="18"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erage Rating]" caption="Average Rating" measure="1" displayFolder="" measureGroup="calls" count="0"/>
    <cacheHierarchy uniqueName="[Measures].[5 star Rating]" caption="5 star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may" refreshedDate="46230.037558796299" backgroundQuery="1" createdVersion="7" refreshedVersion="7" minRefreshableVersion="3" recordCount="0" supportSubquery="1" supportAdvancedDrill="1" xr:uid="{D2378F67-BE1F-43B4-A52F-E02DA0F5072C}">
  <cacheSource type="external" connectionId="1"/>
  <cacheFields count="3">
    <cacheField name="[customers].[Gender].[Gender]" caption="Gender" numFmtId="0" hierarchy="13" level="1">
      <sharedItems count="2">
        <s v="Female"/>
        <s v="Male"/>
      </sharedItems>
    </cacheField>
    <cacheField name="[customers].[City].[City]" caption="City" numFmtId="0" hierarchy="15" level="1">
      <sharedItems count="3">
        <s v="Cincinnati"/>
        <s v="Cleveland"/>
        <s v="Columbus"/>
      </sharedItems>
    </cacheField>
    <cacheField name="[Measures].[Call Count]" caption="Call Count" numFmtId="0" hierarchy="17"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star Rating]" caption="5 star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may" refreshedDate="46230.055398379627" backgroundQuery="1" createdVersion="7" refreshedVersion="7" minRefreshableVersion="3" recordCount="0" supportSubquery="1" supportAdvancedDrill="1" xr:uid="{D1CFD51D-FED1-4894-957F-9DDEBCE9EF88}">
  <cacheSource type="external" connectionId="1"/>
  <cacheFields count="4">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calls].[Representative].[Representative]" caption="Representative" numFmtId="0" hierarchy="3" level="1">
      <sharedItems count="5">
        <s v="R01"/>
        <s v="R02"/>
        <s v="R03"/>
        <s v="R04"/>
        <s v="R05"/>
      </sharedItems>
    </cacheField>
    <cacheField name="[Measures].[Total Amount]" caption="Total Amount" numFmtId="0" hierarchy="18"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1"/>
      </fieldsUsage>
    </cacheHierarchy>
    <cacheHierarchy uniqueName="[customers].[Gender]" caption="Gender" attribute="1" defaultMemberUniqueName="[customers].[Gender].[All]" allUniqueName="[customers].[Gend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erage Rating]" caption="Average Rating" measure="1" displayFolder="" measureGroup="calls" count="0"/>
    <cacheHierarchy uniqueName="[Measures].[5 star Rating]" caption="5 star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may" refreshedDate="46269.655721990741" backgroundQuery="1" createdVersion="7" refreshedVersion="7" minRefreshableVersion="3" recordCount="0" supportSubquery="1" supportAdvancedDrill="1" xr:uid="{540CE15C-D24E-41C6-BC72-303FDDFB1CF3}">
  <cacheSource type="external" connectionId="1"/>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erage Rating]" caption="Average Rating" numFmtId="0" hierarchy="20" level="32767"/>
    <cacheField name="[Measures].[5 star Rating]" caption="5 star Rating" numFmtId="0" hierarchy="21" level="32767"/>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erage Rating]" caption="Average Rating" measure="1" displayFolder="" measureGroup="calls" count="0" oneField="1">
      <fieldsUsage count="1">
        <fieldUsage x="3"/>
      </fieldsUsage>
    </cacheHierarchy>
    <cacheHierarchy uniqueName="[Measures].[5 star Rating]" caption="5 star Rating"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may" refreshedDate="46269.655722916665" backgroundQuery="1" createdVersion="7" refreshedVersion="7" minRefreshableVersion="3" recordCount="0" supportSubquery="1" supportAdvancedDrill="1" xr:uid="{FB6C0797-C474-48BE-A6FC-FFA23C82CAF8}">
  <cacheSource type="external" connectionId="1"/>
  <cacheFields count="5">
    <cacheField name="[calls].[Date of Call].[Date of Call]" caption="Date of Call" numFmtId="0" hierarchy="4" level="1">
      <sharedItems containsSemiMixedTypes="0" containsNonDate="0" containsDate="1" containsString="0" minDate="2023-01-03T00:00:00" maxDate="2023-12-31T00:00:00" count="147">
        <d v="2023-01-03T00:00:00"/>
        <d v="2023-01-07T00:00:00"/>
        <d v="2023-01-08T00:00:00"/>
        <d v="2023-01-10T00:00:00"/>
        <d v="2023-01-17T00:00:00"/>
        <d v="2023-01-21T00:00:00"/>
        <d v="2023-01-24T00:00:00"/>
        <d v="2023-01-25T00:00:00"/>
        <d v="2023-01-27T00:00:00"/>
        <d v="2023-02-01T00:00:00"/>
        <d v="2023-02-07T00:00:00"/>
        <d v="2023-02-11T00:00:00"/>
        <d v="2023-02-13T00:00:00"/>
        <d v="2023-02-14T00:00:00"/>
        <d v="2023-02-15T00:00:00"/>
        <d v="2023-02-21T00:00:00"/>
        <d v="2023-02-23T00:00:00"/>
        <d v="2023-02-26T00:00:00"/>
        <d v="2023-02-28T00:00:00"/>
        <d v="2023-03-01T00:00:00"/>
        <d v="2023-03-02T00:00:00"/>
        <d v="2023-03-04T00:00:00"/>
        <d v="2023-03-06T00:00:00"/>
        <d v="2023-03-07T00:00:00"/>
        <d v="2023-03-10T00:00:00"/>
        <d v="2023-03-11T00:00:00"/>
        <d v="2023-03-12T00:00:00"/>
        <d v="2023-03-13T00:00:00"/>
        <d v="2023-03-14T00:00:00"/>
        <d v="2023-03-15T00:00:00"/>
        <d v="2023-03-16T00:00:00"/>
        <d v="2023-03-18T00:00:00"/>
        <d v="2023-03-21T00:00:00"/>
        <d v="2023-03-22T00:00:00"/>
        <d v="2023-03-23T00:00:00"/>
        <d v="2023-03-24T00:00:00"/>
        <d v="2023-03-26T00:00:00"/>
        <d v="2023-03-27T00:00:00"/>
        <d v="2023-03-29T00:00:00"/>
        <d v="2023-04-03T00:00:00"/>
        <d v="2023-04-07T00:00:00"/>
        <d v="2023-04-08T00:00:00"/>
        <d v="2023-04-09T00:00:00"/>
        <d v="2023-04-10T00:00:00"/>
        <d v="2023-04-11T00:00:00"/>
        <d v="2023-04-14T00:00:00"/>
        <d v="2023-04-16T00:00:00"/>
        <d v="2023-04-17T00:00:00"/>
        <d v="2023-04-21T00:00:00"/>
        <d v="2023-04-22T00:00:00"/>
        <d v="2023-04-23T00:00:00"/>
        <d v="2023-04-24T00:00:00"/>
        <d v="2023-04-27T00:00:00"/>
        <d v="2023-04-28T00:00:00"/>
        <d v="2023-04-29T00:00:00"/>
        <d v="2023-04-30T00:00:00"/>
        <d v="2023-05-02T00:00:00"/>
        <d v="2023-05-03T00:00:00"/>
        <d v="2023-05-06T00:00:00"/>
        <d v="2023-05-07T00:00:00"/>
        <d v="2023-05-10T00:00:00"/>
        <d v="2023-05-12T00:00:00"/>
        <d v="2023-05-14T00:00:00"/>
        <d v="2023-05-15T00:00:00"/>
        <d v="2023-05-16T00:00:00"/>
        <d v="2023-05-17T00:00:00"/>
        <d v="2023-05-22T00:00:00"/>
        <d v="2023-05-23T00:00:00"/>
        <d v="2023-05-25T00:00:00"/>
        <d v="2023-05-27T00:00:00"/>
        <d v="2023-05-29T00:00:00"/>
        <d v="2023-06-11T00:00:00"/>
        <d v="2023-06-15T00:00:00"/>
        <d v="2023-06-17T00:00:00"/>
        <d v="2023-06-18T00:00:00"/>
        <d v="2023-06-20T00:00:00"/>
        <d v="2023-06-24T00:00:00"/>
        <d v="2023-06-27T00:00:00"/>
        <d v="2023-06-29T00:00:00"/>
        <d v="2023-06-30T00:00:00"/>
        <d v="2023-07-01T00:00:00"/>
        <d v="2023-07-02T00:00:00"/>
        <d v="2023-07-05T00:00:00"/>
        <d v="2023-07-07T00:00:00"/>
        <d v="2023-07-08T00:00:00"/>
        <d v="2023-07-12T00:00:00"/>
        <d v="2023-07-15T00:00:00"/>
        <d v="2023-07-17T00:00:00"/>
        <d v="2023-07-18T00:00:00"/>
        <d v="2023-07-20T00:00:00"/>
        <d v="2023-07-21T00:00:00"/>
        <d v="2023-07-28T00:00:00"/>
        <d v="2023-07-29T00:00:00"/>
        <d v="2023-07-31T00:00:00"/>
        <d v="2023-08-04T00:00:00"/>
        <d v="2023-08-06T00:00:00"/>
        <d v="2023-08-13T00:00:00"/>
        <d v="2023-08-18T00:00:00"/>
        <d v="2023-08-19T00:00:00"/>
        <d v="2023-08-21T00:00:00"/>
        <d v="2023-08-23T00:00:00"/>
        <d v="2023-08-25T00:00:00"/>
        <d v="2023-08-26T00:00:00"/>
        <d v="2023-08-27T00:00:00"/>
        <d v="2023-09-01T00:00:00"/>
        <d v="2023-09-04T00:00:00"/>
        <d v="2023-09-06T00:00:00"/>
        <d v="2023-09-09T00:00:00"/>
        <d v="2023-09-24T00:00:00"/>
        <d v="2023-09-27T00:00:00"/>
        <d v="2023-09-28T00:00:00"/>
        <d v="2023-09-29T00:00:00"/>
        <d v="2023-09-30T00:00:00"/>
        <d v="2023-10-01T00:00:00"/>
        <d v="2023-10-03T00:00:00"/>
        <d v="2023-10-04T00:00:00"/>
        <d v="2023-10-05T00:00:00"/>
        <d v="2023-10-06T00:00:00"/>
        <d v="2023-10-10T00:00:00"/>
        <d v="2023-10-11T00:00:00"/>
        <d v="2023-10-12T00:00:00"/>
        <d v="2023-10-16T00:00:00"/>
        <d v="2023-10-19T00:00:00"/>
        <d v="2023-10-20T00:00:00"/>
        <d v="2023-10-22T00:00:00"/>
        <d v="2023-10-23T00:00:00"/>
        <d v="2023-10-28T00:00:00"/>
        <d v="2023-11-01T00:00:00"/>
        <d v="2023-11-02T00:00:00"/>
        <d v="2023-11-07T00:00:00"/>
        <d v="2023-11-09T00:00:00"/>
        <d v="2023-11-10T00:00:00"/>
        <d v="2023-11-11T00:00:00"/>
        <d v="2023-11-24T00:00:00"/>
        <d v="2023-11-26T00:00:00"/>
        <d v="2023-12-01T00:00:00"/>
        <d v="2023-12-05T00:00:00"/>
        <d v="2023-12-07T00:00:00"/>
        <d v="2023-12-14T00:00:00"/>
        <d v="2023-12-15T00:00:00"/>
        <d v="2023-12-16T00:00:00"/>
        <d v="2023-12-17T00:00:00"/>
        <d v="2023-12-20T00:00:00"/>
        <d v="2023-12-24T00:00:00"/>
        <d v="2023-12-27T00:00:00"/>
        <d v="2023-12-29T00:00:00"/>
        <d v="2023-12-30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 name="Dummy0" numFmtId="0" hierarchy="26" level="32767">
      <extLst>
        <ext xmlns:x14="http://schemas.microsoft.com/office/spreadsheetml/2009/9/main" uri="{63CAB8AC-B538-458d-9737-405883B0398D}">
          <x14:cacheField ignore="1"/>
        </ext>
      </extLst>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3"/>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0"/>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1"/>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star Rating]" caption="5 star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y uniqueName="Dummy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may" refreshedDate="46269.655726041667" backgroundQuery="1" createdVersion="7" refreshedVersion="7" minRefreshableVersion="3" recordCount="0" supportSubquery="1" supportAdvancedDrill="1" xr:uid="{2E006509-B1D5-4B52-B72A-BDB966FBCF6C}">
  <cacheSource type="external" connectionId="1"/>
  <cacheFields count="3">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star Rating]" caption="5 star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may" refreshedDate="46269.655730555554" backgroundQuery="1" createdVersion="7" refreshedVersion="7" minRefreshableVersion="3" recordCount="0" supportSubquery="1" supportAdvancedDrill="1" xr:uid="{51FEFA84-BDF4-4E47-9FBE-DCFEE53AE488}">
  <cacheSource type="external" connectionId="1"/>
  <cacheFields count="1">
    <cacheField name="[calls].[Representative].[Representative]" caption="Representative" numFmtId="0" hierarchy="3" level="1">
      <sharedItems count="1">
        <s v="R01"/>
      </sharedItems>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star Rating]" caption="5 star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may" refreshedDate="46269.655734837965" backgroundQuery="1" createdVersion="7" refreshedVersion="7" minRefreshableVersion="3" recordCount="0" supportSubquery="1" supportAdvancedDrill="1" xr:uid="{D8D54924-2B6C-46F2-B898-CBD9B7B994D0}">
  <cacheSource type="external" connectionId="1"/>
  <cacheFields count="3">
    <cacheField name="[Measures].[Call Count]" caption="Call Count" numFmtId="0" hierarchy="17" level="32767"/>
    <cacheField name="[calls].[Rating rounded].[Rating rounded]" caption="Rating rounded"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Rating rounded].&amp;[1]"/>
            <x15:cachedUniqueName index="1" name="[calls].[Rating rounded].&amp;[2]"/>
            <x15:cachedUniqueName index="2" name="[calls].[Rating rounded].&amp;[3]"/>
            <x15:cachedUniqueName index="3" name="[calls].[Rating rounded].&amp;[4]"/>
            <x15:cachedUniqueName index="4"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star Rating]" caption="5 star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may" refreshedDate="46230.037496527781" backgroundQuery="1" createdVersion="3" refreshedVersion="7" minRefreshableVersion="3" recordCount="0" supportSubquery="1" supportAdvancedDrill="1" xr:uid="{EF94E1E3-59C8-42E6-930B-B64E3A307214}">
  <cacheSource type="external" connectionId="1">
    <extLst>
      <ext xmlns:x14="http://schemas.microsoft.com/office/spreadsheetml/2009/9/main" uri="{F057638F-6D5F-4e77-A914-E7F072B9BCA8}">
        <x14:sourceConnection name="ThisWorkbookDataModel"/>
      </ext>
    </extLst>
  </cacheSource>
  <cacheFields count="0"/>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star Rating]" caption="5 star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99800413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890F63A-C6DF-4F19-B77A-20D13A35E545}" name="monthly trend" cacheId="15"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2">
  <location ref="A22:C35" firstHeaderRow="0" firstDataRow="1" firstDataCol="1"/>
  <pivotFields count="5">
    <pivotField axis="axisRow" allDrilled="1" subtotalTop="0" showAll="0" dataSourceSort="1" defaultSubtotal="0" defaultAttributeDrillState="1">
      <items count="1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1"/>
    <field x="0"/>
  </rowFields>
  <rowItems count="13">
    <i>
      <x/>
    </i>
    <i>
      <x v="1"/>
    </i>
    <i>
      <x v="2"/>
    </i>
    <i>
      <x v="3"/>
    </i>
    <i>
      <x v="4"/>
    </i>
    <i>
      <x v="5"/>
    </i>
    <i>
      <x v="6"/>
    </i>
    <i>
      <x v="7"/>
    </i>
    <i>
      <x v="8"/>
    </i>
    <i>
      <x v="9"/>
    </i>
    <i>
      <x v="10"/>
    </i>
    <i>
      <x v="11"/>
    </i>
    <i t="grand">
      <x/>
    </i>
  </rowItems>
  <colFields count="1">
    <field x="-2"/>
  </colFields>
  <colItems count="2">
    <i>
      <x/>
    </i>
    <i i="1">
      <x v="1"/>
    </i>
  </colItems>
  <dataFields count="2">
    <dataField fld="2" subtotal="count" baseField="0" baseItem="0"/>
    <dataField name="Call Count2" fld="4" subtotal="count" baseField="0" baseItem="0">
      <extLst>
        <ext xmlns:x14="http://schemas.microsoft.com/office/spreadsheetml/2009/9/main" uri="{E15A36E0-9728-4e99-A89B-3F7291B0FE68}">
          <x14:dataField sourceField="2" uniqueName="[__Xl2].[Measures].[Call Count]"/>
        </ext>
      </extLst>
    </dataField>
  </dataFields>
  <chartFormats count="2">
    <chartFormat chart="11" format="4" series="1">
      <pivotArea type="data" outline="0" fieldPosition="0">
        <references count="1">
          <reference field="4294967294" count="1" selected="0">
            <x v="1"/>
          </reference>
        </references>
      </pivotArea>
    </chartFormat>
    <chartFormat chart="11" format="5"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D93AD8A-0858-49D8-B16E-873175073972}" name="Rep Pivot" cacheId="12"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A13:E14"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6">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CE6190-497C-4139-8F57-18E396CED52C}" name="reps pivot" cacheId="1"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A46:C52"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2EC68B5-772F-4D34-81ED-326AED9CB939}" name="rep amounts" cacheId="3"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12">
  <location ref="A94:G113" firstHeaderRow="1" firstDataRow="2" firstDataCol="1"/>
  <pivotFields count="4">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axis="axisCol" allDrilled="1" subtotalTop="0" showAll="0" dataSourceSort="1" defaultSubtotal="0" defaultAttributeDrillState="1">
      <items count="5">
        <item x="0"/>
        <item x="1"/>
        <item x="2"/>
        <item x="3"/>
        <item x="4"/>
      </items>
    </pivotField>
    <pivotField dataField="1" subtotalTop="0" showAll="0" defaultSubtotal="0"/>
  </pivotFields>
  <rowFields count="2">
    <field x="0"/>
    <field x="1"/>
  </rowFields>
  <rowItems count="18">
    <i>
      <x/>
    </i>
    <i r="1">
      <x/>
    </i>
    <i r="1">
      <x v="1"/>
    </i>
    <i r="1">
      <x v="2"/>
    </i>
    <i r="1">
      <x v="3"/>
    </i>
    <i>
      <x v="1"/>
    </i>
    <i r="1">
      <x v="4"/>
    </i>
    <i r="1">
      <x v="5"/>
    </i>
    <i r="1">
      <x v="6"/>
    </i>
    <i r="1">
      <x v="7"/>
    </i>
    <i r="1">
      <x v="8"/>
    </i>
    <i r="1">
      <x v="9"/>
    </i>
    <i>
      <x v="2"/>
    </i>
    <i r="1">
      <x v="10"/>
    </i>
    <i r="1">
      <x v="11"/>
    </i>
    <i r="1">
      <x v="12"/>
    </i>
    <i r="1">
      <x v="13"/>
    </i>
    <i r="1">
      <x v="14"/>
    </i>
  </rowItems>
  <colFields count="1">
    <field x="2"/>
  </colFields>
  <colItems count="6">
    <i>
      <x/>
    </i>
    <i>
      <x v="1"/>
    </i>
    <i>
      <x v="2"/>
    </i>
    <i>
      <x v="3"/>
    </i>
    <i>
      <x v="4"/>
    </i>
    <i t="grand">
      <x/>
    </i>
  </colItems>
  <dataFields count="1">
    <dataField fld="3" subtotal="count" baseField="0" baseItem="0"/>
  </dataField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7C7B302-3D98-4BAB-AACD-868C863ED519}" name="PivotTable9"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71:D76" firstHeaderRow="1" firstDataRow="2" firstDataCol="1"/>
  <pivotFields count="3">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3">
        <item x="0"/>
        <item x="1"/>
        <item x="2"/>
      </items>
    </pivotField>
    <pivotField dataField="1" subtotalTop="0" showAll="0" defaultSubtotal="0"/>
  </pivotFields>
  <rowFields count="1">
    <field x="1"/>
  </rowFields>
  <rowItems count="4">
    <i>
      <x/>
    </i>
    <i>
      <x v="1"/>
    </i>
    <i>
      <x v="2"/>
    </i>
    <i t="grand">
      <x/>
    </i>
  </rowItems>
  <colFields count="1">
    <field x="0"/>
  </colFields>
  <colItems count="3">
    <i>
      <x/>
    </i>
    <i>
      <x v="1"/>
    </i>
    <i t="grand">
      <x/>
    </i>
  </colItems>
  <dataFields count="1">
    <dataField fld="2" subtotal="count" baseField="0" baseItem="0"/>
  </dataFields>
  <chartFormats count="4">
    <chartFormat chart="4" format="4" series="1">
      <pivotArea type="data" outline="0" fieldPosition="0">
        <references count="2">
          <reference field="4294967294" count="1" selected="0">
            <x v="0"/>
          </reference>
          <reference field="0" count="1" selected="0">
            <x v="0"/>
          </reference>
        </references>
      </pivotArea>
    </chartFormat>
    <chartFormat chart="4" format="5" series="1">
      <pivotArea type="data" outline="0" fieldPosition="0">
        <references count="2">
          <reference field="4294967294" count="1" selected="0">
            <x v="0"/>
          </reference>
          <reference field="0" count="1" selected="0">
            <x v="1"/>
          </reference>
        </references>
      </pivotArea>
    </chartFormat>
    <chartFormat chart="4" format="6">
      <pivotArea type="data" outline="0" fieldPosition="0">
        <references count="3">
          <reference field="4294967294" count="1" selected="0">
            <x v="0"/>
          </reference>
          <reference field="0" count="1" selected="0">
            <x v="0"/>
          </reference>
          <reference field="1" count="1" selected="0">
            <x v="1"/>
          </reference>
        </references>
      </pivotArea>
    </chartFormat>
    <chartFormat chart="4" format="7">
      <pivotArea type="data" outline="0" fieldPosition="0">
        <references count="3">
          <reference field="4294967294" count="1" selected="0">
            <x v="0"/>
          </reference>
          <reference field="0" count="1" selected="0">
            <x v="0"/>
          </reference>
          <reference field="1" count="1" selected="0">
            <x v="0"/>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FB6C867-ED89-4DA1-A7D5-32869892B78F}" name="weekday trend" cacheId="18"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20">
  <location ref="G22:H30" firstHeaderRow="1" firstDataRow="1" firstDataCol="1"/>
  <pivotFields count="3">
    <pivotField axis="axisRow" allDrilled="1" subtotalTop="0" showAll="0" sortType="ascending" defaultSubtotal="0" defaultAttributeDrillState="1">
      <items count="7">
        <item x="3"/>
        <item x="1"/>
        <item x="5"/>
        <item x="6"/>
        <item x="4"/>
        <item x="0"/>
        <item x="2"/>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chartFormats count="2">
    <chartFormat chart="19" format="2" series="1">
      <pivotArea type="data" outline="0" fieldPosition="0">
        <references count="1">
          <reference field="4294967294" count="1" selected="0">
            <x v="0"/>
          </reference>
        </references>
      </pivotArea>
    </chartFormat>
    <chartFormat chart="19" format="3">
      <pivotArea type="data" outline="0" fieldPosition="0">
        <references count="2">
          <reference field="4294967294" count="1" selected="0">
            <x v="0"/>
          </reference>
          <reference field="0"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A1CE139-6922-4137-B743-5960DF740305}" name="Summary pivot" cacheId="0"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C058644-730B-4CB5-984E-779436F6644F}" name="selected rep" cacheId="21"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outline="1" outlineData="1" multipleFieldFilters="0">
  <location ref="A62:A63"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2">
    <format dxfId="4">
      <pivotArea dataOnly="0" labelOnly="1" fieldPosition="0">
        <references count="1">
          <reference field="0" count="0"/>
        </references>
      </pivotArea>
    </format>
    <format dxfId="3">
      <pivotArea dataOnly="0" labelOnly="1" fieldPosition="0">
        <references count="1">
          <reference field="0" count="0"/>
        </references>
      </pivotArea>
    </format>
  </format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E0E12F5-7DF0-48E2-8BAD-ACFE1F4C25A3}" name="rep satisfaction" cacheId="2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location ref="A80:B86"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chartFormats count="2">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1" count="1" selected="0">
            <x v="3"/>
          </reference>
        </references>
      </pivotArea>
    </chartFormat>
  </chartFormats>
  <pivotHierarchies count="26">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dRichValueTypes.xml><?xml version="1.0" encoding="utf-8"?>
<rvTypesInfo xmlns="http://schemas.microsoft.com/office/spreadsheetml/2017/richdata2">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11</v>
  </rv>
  <rv s="1">
    <v>1</v>
    <v>5</v>
    <v>A person in a suit and tie
Description automatically generated</v>
  </rv>
  <rv s="1">
    <v>2</v>
    <v>5</v>
    <v>Business woman raising hand</v>
  </rv>
  <rv s="1">
    <v>3</v>
    <v>5</v>
    <v>Young businessman writing on notebook</v>
  </rv>
  <rv s="1">
    <v>4</v>
    <v>5</v>
    <v>Business woman shrugging</v>
  </rv>
</rvData>
</file>

<file path=xl/richData/rdrichvaluestructure.xml><?xml version="1.0" encoding="utf-8"?>
<rvStructures xmlns="http://schemas.microsoft.com/office/spreadsheetml/2017/richdata" count="2">
  <s t="_error">
    <k n="errorType"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0082714C-E324-4C50-B0C8-2E1FCD7C6B29}" sourceName="[calls].[Representative]">
  <pivotTables>
    <pivotTable tabId="6" name="Rep Pivot"/>
    <pivotTable tabId="6" name="monthly trend"/>
    <pivotTable tabId="6" name="weekday trend"/>
    <pivotTable tabId="6" name="selected rep"/>
    <pivotTable tabId="6" name="rep satisfaction"/>
  </pivotTables>
  <data>
    <olap pivotCacheId="998004137">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1]"/>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B11D547C-6673-402A-841B-9148F9DCB652}" cache="Slicer_Representative" caption="Representative" level="1" style="SlicerStyleDark5 2" rowHeight="36576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8"/>
    <tableColumn id="5" xr3:uid="{5A35565E-8707-4DED-AD15-A0669D67B382}" name="Date of Call" dataDxfId="17"/>
    <tableColumn id="6" xr3:uid="{F2E4F158-B41F-47BC-8DF8-DFCADFEE4E40}" name="Purchase Amount"/>
    <tableColumn id="7" xr3:uid="{04B291B5-47BD-4F78-8FD8-D1551CCA6BD9}" name="Satisfaction Rating"/>
    <tableColumn id="8" xr3:uid="{6E4123C0-0B17-43B8-A142-A1E540CE974C}" name="FY" dataDxfId="16">
      <calculatedColumnFormula>IF(MONTH(calls[[#This Row],[Date of Call]])&lt;=6, YEAR(calls[[#This Row],[Date of Call]]), YEAR(calls[[#This Row],[Date of Call]])+1)</calculatedColumnFormula>
    </tableColumn>
    <tableColumn id="9" xr3:uid="{199FA271-5E9B-46CE-9BC6-2801F92CD17E}" name="Day of week" dataDxfId="15">
      <calculatedColumnFormula>TEXT(calls[[#This Row],[Date of Call]],"DDDD")</calculatedColumnFormula>
    </tableColumn>
    <tableColumn id="10" xr3:uid="{328CDB09-95B8-4D5E-9ED9-EF0D363735A1}" name="Duration Bucket" dataDxfId="14">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13">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12" headerRowBorderDxfId="11" tableBorderDxfId="10" totalsRowBorderDxfId="9">
  <autoFilter ref="Q3:T18" xr:uid="{27158F51-A707-4171-8A04-81FB0AABCBA5}"/>
  <tableColumns count="4">
    <tableColumn id="1" xr3:uid="{02688061-6A8C-4E23-B7FF-D00CD8B58CAC}" name="Customer ID" dataDxfId="8"/>
    <tableColumn id="2" xr3:uid="{771678B6-DB44-426B-9874-B4E421A440D5}" name="Gender" dataDxfId="7"/>
    <tableColumn id="3" xr3:uid="{B0D41C62-587E-494D-B49A-603F2C05F8D3}" name="Age" dataDxfId="6"/>
    <tableColumn id="4" xr3:uid="{663F92D6-FE31-4D81-9E01-8D066DDC8A88}" name="City" dataDxfId="5"/>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3">
      <a:majorFont>
        <a:latin typeface="Arial Rounded MT Bold"/>
        <a:ea typeface=""/>
        <a:cs typeface=""/>
      </a:majorFont>
      <a:minorFont>
        <a:latin typeface="Microsoft Sans Serif"/>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J19" zoomScale="115" zoomScaleNormal="115" workbookViewId="0">
      <selection activeCell="I4" sqref="I4"/>
    </sheetView>
  </sheetViews>
  <sheetFormatPr defaultRowHeight="13.8"/>
  <cols>
    <col min="1" max="1" width="3.19921875" customWidth="1"/>
    <col min="2" max="2" width="14.59765625" customWidth="1"/>
    <col min="3" max="3" width="12.8984375" customWidth="1"/>
    <col min="4" max="4" width="16.59765625" customWidth="1"/>
    <col min="5" max="5" width="15" customWidth="1"/>
    <col min="6" max="6" width="16.09765625" customWidth="1"/>
    <col min="7" max="7" width="17.296875" customWidth="1"/>
    <col min="8" max="8" width="18.3984375" customWidth="1"/>
    <col min="9" max="9" width="17.296875" customWidth="1"/>
    <col min="10" max="12" width="15.5" customWidth="1"/>
    <col min="13" max="16" width="7.5" customWidth="1"/>
    <col min="17" max="17" width="14.59765625" customWidth="1"/>
    <col min="20" max="20" width="10.59765625" customWidth="1"/>
  </cols>
  <sheetData>
    <row r="1" spans="2:20" s="4" customFormat="1" ht="48" customHeight="1">
      <c r="B1" s="5" t="s">
        <v>1002</v>
      </c>
    </row>
    <row r="2" spans="2:20">
      <c r="R2" s="1"/>
    </row>
    <row r="3" spans="2:20">
      <c r="B3" s="14" t="s">
        <v>25</v>
      </c>
      <c r="C3" s="14" t="s">
        <v>0</v>
      </c>
      <c r="D3" s="15" t="s">
        <v>1</v>
      </c>
      <c r="E3" s="16" t="s">
        <v>3</v>
      </c>
      <c r="F3" s="16" t="s">
        <v>4</v>
      </c>
      <c r="G3" s="14" t="s">
        <v>2</v>
      </c>
      <c r="H3" s="14" t="s">
        <v>994</v>
      </c>
      <c r="I3" t="s">
        <v>1035</v>
      </c>
      <c r="J3" t="s">
        <v>1036</v>
      </c>
      <c r="K3" t="s">
        <v>1037</v>
      </c>
      <c r="L3" t="s">
        <v>1038</v>
      </c>
      <c r="Q3" s="8" t="s">
        <v>0</v>
      </c>
      <c r="R3" s="9" t="s">
        <v>1077</v>
      </c>
      <c r="S3" s="9" t="s">
        <v>995</v>
      </c>
      <c r="T3" s="10" t="s">
        <v>996</v>
      </c>
    </row>
    <row r="4" spans="2:20">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997</v>
      </c>
      <c r="S4" s="2">
        <v>41</v>
      </c>
      <c r="T4" s="7" t="s">
        <v>999</v>
      </c>
    </row>
    <row r="5" spans="2:20">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997</v>
      </c>
      <c r="S5" s="2">
        <v>31</v>
      </c>
      <c r="T5" s="7" t="s">
        <v>1000</v>
      </c>
    </row>
    <row r="6" spans="2:20">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997</v>
      </c>
      <c r="S6" s="2">
        <v>26</v>
      </c>
      <c r="T6" s="7" t="s">
        <v>1001</v>
      </c>
    </row>
    <row r="7" spans="2:20">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997</v>
      </c>
      <c r="S7" s="2">
        <v>36</v>
      </c>
      <c r="T7" s="7" t="s">
        <v>1001</v>
      </c>
    </row>
    <row r="8" spans="2:20">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997</v>
      </c>
      <c r="S8" s="2">
        <v>37</v>
      </c>
      <c r="T8" s="7" t="s">
        <v>999</v>
      </c>
    </row>
    <row r="9" spans="2:20">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997</v>
      </c>
      <c r="S9" s="2">
        <v>23</v>
      </c>
      <c r="T9" s="7" t="s">
        <v>999</v>
      </c>
    </row>
    <row r="10" spans="2:20">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998</v>
      </c>
      <c r="S10" s="2">
        <v>22</v>
      </c>
      <c r="T10" s="7" t="s">
        <v>1000</v>
      </c>
    </row>
    <row r="11" spans="2:20">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998</v>
      </c>
      <c r="S11" s="2">
        <v>42</v>
      </c>
      <c r="T11" s="7" t="s">
        <v>1000</v>
      </c>
    </row>
    <row r="12" spans="2:20">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998</v>
      </c>
      <c r="S12" s="2">
        <v>25</v>
      </c>
      <c r="T12" s="7" t="s">
        <v>999</v>
      </c>
    </row>
    <row r="13" spans="2:20">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998</v>
      </c>
      <c r="S13" s="2">
        <v>30</v>
      </c>
      <c r="T13" s="7" t="s">
        <v>1000</v>
      </c>
    </row>
    <row r="14" spans="2:20">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998</v>
      </c>
      <c r="S14" s="2">
        <v>30</v>
      </c>
      <c r="T14" s="7" t="s">
        <v>1001</v>
      </c>
    </row>
    <row r="15" spans="2:20">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998</v>
      </c>
      <c r="S15" s="2">
        <v>28</v>
      </c>
      <c r="T15" s="7" t="s">
        <v>1001</v>
      </c>
    </row>
    <row r="16" spans="2:20">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998</v>
      </c>
      <c r="S16" s="2">
        <v>37</v>
      </c>
      <c r="T16" s="7" t="s">
        <v>1000</v>
      </c>
    </row>
    <row r="17" spans="2:20">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998</v>
      </c>
      <c r="S17" s="2">
        <v>38</v>
      </c>
      <c r="T17" s="7" t="s">
        <v>999</v>
      </c>
    </row>
    <row r="18" spans="2:20">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998</v>
      </c>
      <c r="S18" s="12">
        <v>43</v>
      </c>
      <c r="T18" s="13" t="s">
        <v>1000</v>
      </c>
    </row>
    <row r="19" spans="2:20">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c r="B972" t="s">
        <v>1003</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c r="B973" t="s">
        <v>1004</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c r="B974" t="s">
        <v>1005</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c r="B975" t="s">
        <v>1006</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c r="B976" t="s">
        <v>1007</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c r="B977" t="s">
        <v>1008</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c r="B978" t="s">
        <v>1009</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c r="B979" t="s">
        <v>1010</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c r="B980" t="s">
        <v>1011</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c r="B981" t="s">
        <v>1012</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c r="B982" t="s">
        <v>1013</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c r="B983" t="s">
        <v>1014</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c r="B984" t="s">
        <v>1015</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c r="B985" t="s">
        <v>1016</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c r="B986" t="s">
        <v>1017</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c r="B987" t="s">
        <v>1018</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c r="B988" t="s">
        <v>1019</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c r="B989" t="s">
        <v>1020</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c r="B990" t="s">
        <v>1021</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c r="B991" t="s">
        <v>1022</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c r="B992" t="s">
        <v>1023</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c r="B993" t="s">
        <v>1024</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c r="B994" t="s">
        <v>1025</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c r="B995" t="s">
        <v>1026</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c r="B996" t="s">
        <v>1027</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c r="B997" t="s">
        <v>1028</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c r="B998" t="s">
        <v>1029</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c r="B999" t="s">
        <v>1030</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c r="B1000" t="s">
        <v>1031</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c r="B1001" t="s">
        <v>1032</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c r="B1002" t="s">
        <v>1033</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c r="B1003" t="s">
        <v>1034</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B13A1-ABFF-46D4-88C2-C2DA3F76A475}">
  <dimension ref="A3:J113"/>
  <sheetViews>
    <sheetView topLeftCell="A57" workbookViewId="0">
      <selection activeCell="I73" sqref="I73"/>
    </sheetView>
  </sheetViews>
  <sheetFormatPr defaultRowHeight="13.8"/>
  <cols>
    <col min="1" max="1" width="13.296875" bestFit="1" customWidth="1"/>
    <col min="2" max="2" width="10.296875" bestFit="1" customWidth="1"/>
    <col min="3" max="3" width="11.3984375" bestFit="1" customWidth="1"/>
    <col min="4" max="4" width="14.796875" bestFit="1" customWidth="1"/>
    <col min="5" max="5" width="12.3984375" bestFit="1" customWidth="1"/>
    <col min="6" max="6" width="6.3984375" bestFit="1" customWidth="1"/>
    <col min="7" max="7" width="13.296875" bestFit="1" customWidth="1"/>
    <col min="8" max="8" width="10.296875" bestFit="1" customWidth="1"/>
  </cols>
  <sheetData>
    <row r="3" spans="1:5">
      <c r="A3" t="s">
        <v>1041</v>
      </c>
      <c r="B3" t="s">
        <v>1042</v>
      </c>
      <c r="C3" t="s">
        <v>1043</v>
      </c>
      <c r="D3" t="s">
        <v>1044</v>
      </c>
      <c r="E3" t="s">
        <v>1045</v>
      </c>
    </row>
    <row r="4" spans="1:5">
      <c r="A4" s="21">
        <v>1000</v>
      </c>
      <c r="B4" s="22">
        <v>96623</v>
      </c>
      <c r="C4" s="21">
        <v>89850</v>
      </c>
      <c r="D4" s="23">
        <v>3.8854000000000033</v>
      </c>
      <c r="E4" s="21">
        <v>307</v>
      </c>
    </row>
    <row r="13" spans="1:5">
      <c r="A13" t="s">
        <v>1041</v>
      </c>
      <c r="B13" t="s">
        <v>1042</v>
      </c>
      <c r="C13" t="s">
        <v>1043</v>
      </c>
      <c r="D13" t="s">
        <v>1044</v>
      </c>
      <c r="E13" t="s">
        <v>1045</v>
      </c>
    </row>
    <row r="14" spans="1:5">
      <c r="A14" s="21">
        <v>189</v>
      </c>
      <c r="B14" s="22">
        <v>18415</v>
      </c>
      <c r="C14" s="21">
        <v>16834</v>
      </c>
      <c r="D14" s="23">
        <v>3.9227513227513247</v>
      </c>
      <c r="E14" s="21">
        <v>60</v>
      </c>
    </row>
    <row r="22" spans="1:8">
      <c r="A22" s="24" t="s">
        <v>1053</v>
      </c>
      <c r="B22" t="s">
        <v>1041</v>
      </c>
      <c r="C22" t="s">
        <v>1067</v>
      </c>
      <c r="G22" s="24" t="s">
        <v>1053</v>
      </c>
      <c r="H22" t="s">
        <v>1041</v>
      </c>
    </row>
    <row r="23" spans="1:8">
      <c r="A23" s="25" t="s">
        <v>1055</v>
      </c>
      <c r="B23" s="21">
        <v>16</v>
      </c>
      <c r="C23" s="21">
        <v>16</v>
      </c>
      <c r="G23" s="25" t="s">
        <v>1046</v>
      </c>
      <c r="H23" s="21">
        <v>36</v>
      </c>
    </row>
    <row r="24" spans="1:8">
      <c r="A24" s="25" t="s">
        <v>1056</v>
      </c>
      <c r="B24" s="21">
        <v>14</v>
      </c>
      <c r="C24" s="21">
        <v>14</v>
      </c>
      <c r="G24" s="25" t="s">
        <v>1047</v>
      </c>
      <c r="H24" s="21">
        <v>30</v>
      </c>
    </row>
    <row r="25" spans="1:8">
      <c r="A25" s="25" t="s">
        <v>1057</v>
      </c>
      <c r="B25" s="21">
        <v>26</v>
      </c>
      <c r="C25" s="21">
        <v>26</v>
      </c>
      <c r="G25" s="25" t="s">
        <v>1048</v>
      </c>
      <c r="H25" s="21">
        <v>13</v>
      </c>
    </row>
    <row r="26" spans="1:8">
      <c r="A26" s="25" t="s">
        <v>1058</v>
      </c>
      <c r="B26" s="21">
        <v>29</v>
      </c>
      <c r="C26" s="21">
        <v>29</v>
      </c>
      <c r="G26" s="25" t="s">
        <v>1049</v>
      </c>
      <c r="H26" s="21">
        <v>23</v>
      </c>
    </row>
    <row r="27" spans="1:8">
      <c r="A27" s="25" t="s">
        <v>1059</v>
      </c>
      <c r="B27" s="21">
        <v>17</v>
      </c>
      <c r="C27" s="21">
        <v>17</v>
      </c>
      <c r="G27" s="25" t="s">
        <v>1050</v>
      </c>
      <c r="H27" s="21">
        <v>23</v>
      </c>
    </row>
    <row r="28" spans="1:8">
      <c r="A28" s="25" t="s">
        <v>1060</v>
      </c>
      <c r="B28" s="21">
        <v>15</v>
      </c>
      <c r="C28" s="21">
        <v>15</v>
      </c>
      <c r="G28" s="25" t="s">
        <v>1051</v>
      </c>
      <c r="H28" s="21">
        <v>24</v>
      </c>
    </row>
    <row r="29" spans="1:8">
      <c r="A29" s="25" t="s">
        <v>1061</v>
      </c>
      <c r="B29" s="21">
        <v>15</v>
      </c>
      <c r="C29" s="21">
        <v>15</v>
      </c>
      <c r="G29" s="25" t="s">
        <v>1052</v>
      </c>
      <c r="H29" s="21">
        <v>40</v>
      </c>
    </row>
    <row r="30" spans="1:8">
      <c r="A30" s="25" t="s">
        <v>1062</v>
      </c>
      <c r="B30" s="21">
        <v>7</v>
      </c>
      <c r="C30" s="21">
        <v>7</v>
      </c>
      <c r="G30" s="25" t="s">
        <v>1054</v>
      </c>
      <c r="H30" s="21">
        <v>189</v>
      </c>
    </row>
    <row r="31" spans="1:8">
      <c r="A31" s="25" t="s">
        <v>1063</v>
      </c>
      <c r="B31" s="21">
        <v>11</v>
      </c>
      <c r="C31" s="21">
        <v>11</v>
      </c>
    </row>
    <row r="32" spans="1:8">
      <c r="A32" s="25" t="s">
        <v>1064</v>
      </c>
      <c r="B32" s="21">
        <v>24</v>
      </c>
      <c r="C32" s="21">
        <v>24</v>
      </c>
    </row>
    <row r="33" spans="1:9">
      <c r="A33" s="25" t="s">
        <v>1065</v>
      </c>
      <c r="B33" s="21">
        <v>9</v>
      </c>
      <c r="C33" s="21">
        <v>9</v>
      </c>
    </row>
    <row r="34" spans="1:9">
      <c r="A34" s="25" t="s">
        <v>1066</v>
      </c>
      <c r="B34" s="21">
        <v>6</v>
      </c>
      <c r="C34" s="21">
        <v>6</v>
      </c>
    </row>
    <row r="35" spans="1:9">
      <c r="A35" s="25" t="s">
        <v>1054</v>
      </c>
      <c r="B35" s="21">
        <v>189</v>
      </c>
      <c r="C35" s="21">
        <v>189</v>
      </c>
    </row>
    <row r="42" spans="1:9">
      <c r="G42" t="s">
        <v>1075</v>
      </c>
      <c r="H42" t="str">
        <f>A63</f>
        <v>R01</v>
      </c>
    </row>
    <row r="44" spans="1:9">
      <c r="E44" t="s">
        <v>1069</v>
      </c>
    </row>
    <row r="45" spans="1:9">
      <c r="E45" t="s">
        <v>1070</v>
      </c>
      <c r="F45" t="s">
        <v>1071</v>
      </c>
      <c r="G45" t="s">
        <v>1072</v>
      </c>
      <c r="H45" t="s">
        <v>1073</v>
      </c>
      <c r="I45" t="s">
        <v>1074</v>
      </c>
    </row>
    <row r="46" spans="1:9">
      <c r="A46" s="24" t="s">
        <v>1053</v>
      </c>
      <c r="B46" t="s">
        <v>1041</v>
      </c>
      <c r="C46" t="s">
        <v>1042</v>
      </c>
      <c r="E46" t="str" cm="1">
        <f t="array" ref="E46:G50">A47:C51</f>
        <v>R01</v>
      </c>
      <c r="F46" s="14">
        <v>189</v>
      </c>
      <c r="G46" s="27">
        <v>18415</v>
      </c>
      <c r="H46">
        <f>IF(E46=$H$42,F46,NA())</f>
        <v>189</v>
      </c>
      <c r="I46">
        <f>IF(E46=$H$42,G46,NA())</f>
        <v>18415</v>
      </c>
    </row>
    <row r="47" spans="1:9">
      <c r="A47" s="25" t="s">
        <v>11</v>
      </c>
      <c r="B47" s="21">
        <v>189</v>
      </c>
      <c r="C47" s="22">
        <v>18415</v>
      </c>
      <c r="E47" t="str">
        <v>R02</v>
      </c>
      <c r="F47" s="14">
        <v>218</v>
      </c>
      <c r="G47" s="27">
        <v>20581</v>
      </c>
      <c r="H47" t="e">
        <f>IF(E47=$H$42,F47,NA())</f>
        <v>#N/A</v>
      </c>
      <c r="I47" t="e">
        <f>IF(E47=$H$42,G47,NA())</f>
        <v>#N/A</v>
      </c>
    </row>
    <row r="48" spans="1:9">
      <c r="A48" s="25" t="s">
        <v>9</v>
      </c>
      <c r="B48" s="21">
        <v>218</v>
      </c>
      <c r="C48" s="22">
        <v>20581</v>
      </c>
      <c r="E48" t="str">
        <v>R03</v>
      </c>
      <c r="F48" s="14">
        <v>207</v>
      </c>
      <c r="G48" s="27">
        <v>20872</v>
      </c>
      <c r="H48" t="e">
        <f>IF(E48=$H$42,F48,NA())</f>
        <v>#N/A</v>
      </c>
      <c r="I48" t="e">
        <f>IF(E48=$H$42,G48,NA())</f>
        <v>#N/A</v>
      </c>
    </row>
    <row r="49" spans="1:9">
      <c r="A49" s="25" t="s">
        <v>6</v>
      </c>
      <c r="B49" s="21">
        <v>207</v>
      </c>
      <c r="C49" s="22">
        <v>20872</v>
      </c>
      <c r="E49" t="str">
        <v>R04</v>
      </c>
      <c r="F49" s="14">
        <v>186</v>
      </c>
      <c r="G49" s="27">
        <v>16651</v>
      </c>
      <c r="H49" t="e">
        <f>IF(E49=$H$42,F49,NA())</f>
        <v>#N/A</v>
      </c>
      <c r="I49" t="e">
        <f>IF(E49=$H$42,G49,NA())</f>
        <v>#N/A</v>
      </c>
    </row>
    <row r="50" spans="1:9">
      <c r="A50" s="25" t="s">
        <v>13</v>
      </c>
      <c r="B50" s="21">
        <v>186</v>
      </c>
      <c r="C50" s="22">
        <v>16651</v>
      </c>
      <c r="E50" t="str">
        <v>R05</v>
      </c>
      <c r="F50" s="14">
        <v>200</v>
      </c>
      <c r="G50" s="27">
        <v>20104</v>
      </c>
      <c r="H50" t="e">
        <f>IF(E50=$H$42,F50,NA())</f>
        <v>#N/A</v>
      </c>
      <c r="I50" t="e">
        <f>IF(E50=$H$42,G50,NA())</f>
        <v>#N/A</v>
      </c>
    </row>
    <row r="51" spans="1:9">
      <c r="A51" s="25" t="s">
        <v>10</v>
      </c>
      <c r="B51" s="21">
        <v>200</v>
      </c>
      <c r="C51" s="22">
        <v>20104</v>
      </c>
    </row>
    <row r="52" spans="1:9">
      <c r="A52" s="25" t="s">
        <v>1054</v>
      </c>
      <c r="B52" s="21">
        <v>1000</v>
      </c>
      <c r="C52" s="22">
        <v>96623</v>
      </c>
    </row>
    <row r="61" spans="1:9">
      <c r="H61" t="s">
        <v>1082</v>
      </c>
    </row>
    <row r="62" spans="1:9">
      <c r="A62" s="24" t="s">
        <v>1053</v>
      </c>
      <c r="H62" t="s">
        <v>1081</v>
      </c>
      <c r="I62" s="30">
        <f>GETPIVOTDATA("[Measures].[Call Count]",$A$13)/GETPIVOTDATA("[Measures].[Call Count]",$A$3)</f>
        <v>0.189</v>
      </c>
    </row>
    <row r="63" spans="1:9">
      <c r="A63" s="26" t="s">
        <v>11</v>
      </c>
      <c r="H63" t="s">
        <v>1083</v>
      </c>
      <c r="I63">
        <f>_xlfn.XLOOKUP(A63,E46:E50,F46:F50)</f>
        <v>189</v>
      </c>
    </row>
    <row r="64" spans="1:9">
      <c r="H64" t="s">
        <v>1084</v>
      </c>
      <c r="I64">
        <f>_xlfn.XLOOKUP(A63,E46:E50,G46:G50)</f>
        <v>18415</v>
      </c>
    </row>
    <row r="65" spans="1:10">
      <c r="H65" t="s">
        <v>1080</v>
      </c>
      <c r="I65">
        <f>_xlfn.RANK.AVG(I63,F46:F50)</f>
        <v>4</v>
      </c>
    </row>
    <row r="66" spans="1:10">
      <c r="H66" t="s">
        <v>1079</v>
      </c>
      <c r="I66">
        <f>_xlfn.RANK.AVG(I64,G46:G50)</f>
        <v>4</v>
      </c>
    </row>
    <row r="69" spans="1:10">
      <c r="H69" t="s">
        <v>1085</v>
      </c>
    </row>
    <row r="70" spans="1:10">
      <c r="I70" t="str">
        <f>" % of Calls:"&amp;TEXT(I62,"0%")</f>
        <v xml:space="preserve"> % of Calls:19%</v>
      </c>
    </row>
    <row r="71" spans="1:10">
      <c r="A71" s="24" t="s">
        <v>1041</v>
      </c>
      <c r="B71" s="24" t="s">
        <v>1076</v>
      </c>
      <c r="I71" t="str">
        <f>IF(COUNTA(A63:A67)&gt;1," ","Call rank:"&amp;I65)</f>
        <v>Call rank:4</v>
      </c>
      <c r="J71" t="s">
        <v>1086</v>
      </c>
    </row>
    <row r="72" spans="1:10">
      <c r="A72" s="24" t="s">
        <v>1053</v>
      </c>
      <c r="B72" t="s">
        <v>998</v>
      </c>
      <c r="C72" t="s">
        <v>997</v>
      </c>
      <c r="D72" t="s">
        <v>1054</v>
      </c>
      <c r="I72" t="str">
        <f>IF(COUNTA(A63:A67)&gt;1,"","Amount Rank:"&amp;I66)</f>
        <v>Amount Rank:4</v>
      </c>
    </row>
    <row r="73" spans="1:10">
      <c r="A73" s="25" t="s">
        <v>1001</v>
      </c>
      <c r="B73" s="21">
        <v>144</v>
      </c>
      <c r="C73" s="21">
        <v>132</v>
      </c>
      <c r="D73" s="21">
        <v>276</v>
      </c>
    </row>
    <row r="74" spans="1:10">
      <c r="A74" s="25" t="s">
        <v>1000</v>
      </c>
      <c r="B74" s="21">
        <v>326</v>
      </c>
      <c r="C74" s="21">
        <v>63</v>
      </c>
      <c r="D74" s="21">
        <v>389</v>
      </c>
    </row>
    <row r="75" spans="1:10">
      <c r="A75" s="25" t="s">
        <v>999</v>
      </c>
      <c r="B75" s="21">
        <v>129</v>
      </c>
      <c r="C75" s="21">
        <v>206</v>
      </c>
      <c r="D75" s="21">
        <v>335</v>
      </c>
    </row>
    <row r="76" spans="1:10">
      <c r="A76" s="25" t="s">
        <v>1054</v>
      </c>
      <c r="B76" s="21">
        <v>599</v>
      </c>
      <c r="C76" s="21">
        <v>401</v>
      </c>
      <c r="D76" s="21">
        <v>1000</v>
      </c>
    </row>
    <row r="80" spans="1:10">
      <c r="A80" s="24" t="s">
        <v>1053</v>
      </c>
      <c r="B80" t="s">
        <v>1041</v>
      </c>
    </row>
    <row r="81" spans="1:7">
      <c r="A81" s="25">
        <v>1</v>
      </c>
      <c r="B81" s="21">
        <v>1</v>
      </c>
    </row>
    <row r="82" spans="1:7">
      <c r="A82" s="25">
        <v>2</v>
      </c>
      <c r="B82" s="21">
        <v>9</v>
      </c>
    </row>
    <row r="83" spans="1:7">
      <c r="A83" s="25">
        <v>3</v>
      </c>
      <c r="B83" s="21">
        <v>31</v>
      </c>
    </row>
    <row r="84" spans="1:7">
      <c r="A84" s="25">
        <v>4</v>
      </c>
      <c r="B84" s="21">
        <v>88</v>
      </c>
    </row>
    <row r="85" spans="1:7">
      <c r="A85" s="25">
        <v>5</v>
      </c>
      <c r="B85" s="21">
        <v>60</v>
      </c>
    </row>
    <row r="86" spans="1:7">
      <c r="A86" s="25" t="s">
        <v>1054</v>
      </c>
      <c r="B86" s="21">
        <v>189</v>
      </c>
    </row>
    <row r="94" spans="1:7">
      <c r="A94" s="24" t="s">
        <v>1042</v>
      </c>
      <c r="B94" s="24" t="s">
        <v>1076</v>
      </c>
    </row>
    <row r="95" spans="1:7">
      <c r="A95" s="24" t="s">
        <v>1053</v>
      </c>
      <c r="B95" t="s">
        <v>11</v>
      </c>
      <c r="C95" t="s">
        <v>9</v>
      </c>
      <c r="D95" t="s">
        <v>6</v>
      </c>
      <c r="E95" t="s">
        <v>13</v>
      </c>
      <c r="F95" t="s">
        <v>10</v>
      </c>
      <c r="G95" t="s">
        <v>1054</v>
      </c>
    </row>
    <row r="96" spans="1:7">
      <c r="A96" s="25" t="s">
        <v>1001</v>
      </c>
      <c r="B96" s="28"/>
      <c r="C96" s="28"/>
      <c r="D96" s="28"/>
      <c r="E96" s="28"/>
      <c r="F96" s="28"/>
      <c r="G96" s="28"/>
    </row>
    <row r="97" spans="1:7">
      <c r="A97" s="29" t="s">
        <v>20</v>
      </c>
      <c r="B97" s="22">
        <v>891</v>
      </c>
      <c r="C97" s="22">
        <v>1332</v>
      </c>
      <c r="D97" s="22">
        <v>1282</v>
      </c>
      <c r="E97" s="22">
        <v>739</v>
      </c>
      <c r="F97" s="22">
        <v>560</v>
      </c>
      <c r="G97" s="22">
        <v>4804</v>
      </c>
    </row>
    <row r="98" spans="1:7">
      <c r="A98" s="29" t="s">
        <v>12</v>
      </c>
      <c r="B98" s="22">
        <v>1991</v>
      </c>
      <c r="C98" s="22">
        <v>1886</v>
      </c>
      <c r="D98" s="22">
        <v>1206</v>
      </c>
      <c r="E98" s="22">
        <v>884</v>
      </c>
      <c r="F98" s="22">
        <v>1722</v>
      </c>
      <c r="G98" s="22">
        <v>7689</v>
      </c>
    </row>
    <row r="99" spans="1:7">
      <c r="A99" s="29" t="s">
        <v>8</v>
      </c>
      <c r="B99" s="22">
        <v>1163</v>
      </c>
      <c r="C99" s="22">
        <v>1180</v>
      </c>
      <c r="D99" s="22">
        <v>1616</v>
      </c>
      <c r="E99" s="22">
        <v>1043</v>
      </c>
      <c r="F99" s="22">
        <v>1747</v>
      </c>
      <c r="G99" s="22">
        <v>6749</v>
      </c>
    </row>
    <row r="100" spans="1:7">
      <c r="A100" s="29" t="s">
        <v>16</v>
      </c>
      <c r="B100" s="22">
        <v>1438</v>
      </c>
      <c r="C100" s="22">
        <v>1616</v>
      </c>
      <c r="D100" s="22">
        <v>866</v>
      </c>
      <c r="E100" s="22">
        <v>829</v>
      </c>
      <c r="F100" s="22">
        <v>2070</v>
      </c>
      <c r="G100" s="22">
        <v>6819</v>
      </c>
    </row>
    <row r="101" spans="1:7">
      <c r="A101" s="25" t="s">
        <v>1000</v>
      </c>
      <c r="B101" s="28"/>
      <c r="C101" s="28"/>
      <c r="D101" s="28"/>
      <c r="E101" s="28"/>
      <c r="F101" s="28"/>
      <c r="G101" s="28"/>
    </row>
    <row r="102" spans="1:7">
      <c r="A102" s="29" t="s">
        <v>24</v>
      </c>
      <c r="B102" s="22">
        <v>1233</v>
      </c>
      <c r="C102" s="22">
        <v>223</v>
      </c>
      <c r="D102" s="22">
        <v>1680</v>
      </c>
      <c r="E102" s="22">
        <v>990</v>
      </c>
      <c r="F102" s="22">
        <v>1508</v>
      </c>
      <c r="G102" s="22">
        <v>5634</v>
      </c>
    </row>
    <row r="103" spans="1:7">
      <c r="A103" s="29" t="s">
        <v>15</v>
      </c>
      <c r="B103" s="22">
        <v>1598</v>
      </c>
      <c r="C103" s="22">
        <v>1907</v>
      </c>
      <c r="D103" s="22">
        <v>869</v>
      </c>
      <c r="E103" s="22">
        <v>1426</v>
      </c>
      <c r="F103" s="22">
        <v>1416</v>
      </c>
      <c r="G103" s="22">
        <v>7216</v>
      </c>
    </row>
    <row r="104" spans="1:7">
      <c r="A104" s="29" t="s">
        <v>5</v>
      </c>
      <c r="B104" s="22">
        <v>900</v>
      </c>
      <c r="C104" s="22">
        <v>1016</v>
      </c>
      <c r="D104" s="22">
        <v>960</v>
      </c>
      <c r="E104" s="22">
        <v>940</v>
      </c>
      <c r="F104" s="22">
        <v>1193</v>
      </c>
      <c r="G104" s="22">
        <v>5009</v>
      </c>
    </row>
    <row r="105" spans="1:7">
      <c r="A105" s="29" t="s">
        <v>18</v>
      </c>
      <c r="B105" s="22">
        <v>900</v>
      </c>
      <c r="C105" s="22">
        <v>1470</v>
      </c>
      <c r="D105" s="22">
        <v>1617</v>
      </c>
      <c r="E105" s="22">
        <v>1314</v>
      </c>
      <c r="F105" s="22">
        <v>941</v>
      </c>
      <c r="G105" s="22">
        <v>6242</v>
      </c>
    </row>
    <row r="106" spans="1:7">
      <c r="A106" s="29" t="s">
        <v>14</v>
      </c>
      <c r="B106" s="22">
        <v>1255</v>
      </c>
      <c r="C106" s="22">
        <v>516</v>
      </c>
      <c r="D106" s="22">
        <v>1874</v>
      </c>
      <c r="E106" s="22">
        <v>1863</v>
      </c>
      <c r="F106" s="22">
        <v>1722</v>
      </c>
      <c r="G106" s="22">
        <v>7230</v>
      </c>
    </row>
    <row r="107" spans="1:7">
      <c r="A107" s="29" t="s">
        <v>19</v>
      </c>
      <c r="B107" s="22">
        <v>1138</v>
      </c>
      <c r="C107" s="22">
        <v>1898</v>
      </c>
      <c r="D107" s="22">
        <v>1482</v>
      </c>
      <c r="E107" s="22">
        <v>846</v>
      </c>
      <c r="F107" s="22">
        <v>1154</v>
      </c>
      <c r="G107" s="22">
        <v>6518</v>
      </c>
    </row>
    <row r="108" spans="1:7">
      <c r="A108" s="25" t="s">
        <v>999</v>
      </c>
      <c r="B108" s="28"/>
      <c r="C108" s="28"/>
      <c r="D108" s="28"/>
      <c r="E108" s="28"/>
      <c r="F108" s="28"/>
      <c r="G108" s="28"/>
    </row>
    <row r="109" spans="1:7">
      <c r="A109" s="29" t="s">
        <v>17</v>
      </c>
      <c r="B109" s="22">
        <v>1655</v>
      </c>
      <c r="C109" s="22">
        <v>805</v>
      </c>
      <c r="D109" s="22">
        <v>2263</v>
      </c>
      <c r="E109" s="22">
        <v>987</v>
      </c>
      <c r="F109" s="22">
        <v>1075</v>
      </c>
      <c r="G109" s="22">
        <v>6785</v>
      </c>
    </row>
    <row r="110" spans="1:7">
      <c r="A110" s="29" t="s">
        <v>23</v>
      </c>
      <c r="B110" s="22">
        <v>1104</v>
      </c>
      <c r="C110" s="22">
        <v>2280</v>
      </c>
      <c r="D110" s="22">
        <v>1445</v>
      </c>
      <c r="E110" s="22">
        <v>1722</v>
      </c>
      <c r="F110" s="22">
        <v>1196</v>
      </c>
      <c r="G110" s="22">
        <v>7747</v>
      </c>
    </row>
    <row r="111" spans="1:7">
      <c r="A111" s="29" t="s">
        <v>7</v>
      </c>
      <c r="B111" s="22">
        <v>372</v>
      </c>
      <c r="C111" s="22">
        <v>1818</v>
      </c>
      <c r="D111" s="22">
        <v>1346</v>
      </c>
      <c r="E111" s="22">
        <v>1156</v>
      </c>
      <c r="F111" s="22">
        <v>1484</v>
      </c>
      <c r="G111" s="22">
        <v>6176</v>
      </c>
    </row>
    <row r="112" spans="1:7">
      <c r="A112" s="29" t="s">
        <v>22</v>
      </c>
      <c r="B112" s="22">
        <v>1415</v>
      </c>
      <c r="C112" s="22">
        <v>1271</v>
      </c>
      <c r="D112" s="22">
        <v>1214</v>
      </c>
      <c r="E112" s="22">
        <v>1135</v>
      </c>
      <c r="F112" s="22">
        <v>1566</v>
      </c>
      <c r="G112" s="22">
        <v>6601</v>
      </c>
    </row>
    <row r="113" spans="1:7">
      <c r="A113" s="29" t="s">
        <v>21</v>
      </c>
      <c r="B113" s="22">
        <v>1362</v>
      </c>
      <c r="C113" s="22">
        <v>1363</v>
      </c>
      <c r="D113" s="22">
        <v>1152</v>
      </c>
      <c r="E113" s="22">
        <v>777</v>
      </c>
      <c r="F113" s="22">
        <v>750</v>
      </c>
      <c r="G113" s="22">
        <v>5404</v>
      </c>
    </row>
  </sheetData>
  <pageMargins left="0.7" right="0.7" top="0.75" bottom="0.75" header="0.3" footer="0.3"/>
  <pageSetup orientation="portrait"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99DE7-FCE0-4CBB-ADF8-5A34DEB69051}">
  <dimension ref="A1:BD192"/>
  <sheetViews>
    <sheetView tabSelected="1" zoomScale="46" zoomScaleNormal="70" workbookViewId="0">
      <selection activeCell="P48" sqref="P48"/>
    </sheetView>
  </sheetViews>
  <sheetFormatPr defaultRowHeight="13.8"/>
  <cols>
    <col min="1" max="2" width="3.09765625" customWidth="1"/>
    <col min="18" max="18" width="10.3984375" customWidth="1"/>
    <col min="19" max="19" width="10.8984375" customWidth="1"/>
  </cols>
  <sheetData>
    <row r="1" spans="1:56">
      <c r="A1" s="20"/>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row>
    <row r="2" spans="1:56" ht="31.8" customHeight="1">
      <c r="A2" s="20"/>
      <c r="B2" s="20"/>
      <c r="C2" s="46" t="s">
        <v>1087</v>
      </c>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c r="AK2" s="20"/>
      <c r="AL2" s="20"/>
      <c r="AM2" s="20"/>
      <c r="AN2" s="20"/>
      <c r="AO2" s="20"/>
      <c r="AP2" s="20"/>
      <c r="AQ2" s="20"/>
      <c r="AR2" s="20"/>
      <c r="AS2" s="20"/>
      <c r="AT2" s="20"/>
      <c r="AU2" s="20"/>
      <c r="AV2" s="20"/>
      <c r="AW2" s="20"/>
      <c r="AX2" s="20"/>
      <c r="AY2" s="20"/>
      <c r="AZ2" s="20"/>
      <c r="BA2" s="20"/>
      <c r="BB2" s="20"/>
      <c r="BC2" s="20"/>
      <c r="BD2" s="20"/>
    </row>
    <row r="3" spans="1:56">
      <c r="A3" s="20"/>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D3" s="20"/>
    </row>
    <row r="4" spans="1:56">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row>
    <row r="5" spans="1:56">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row>
    <row r="6" spans="1:56">
      <c r="A6" s="20"/>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0"/>
      <c r="AY6" s="20"/>
      <c r="AZ6" s="20"/>
      <c r="BA6" s="20"/>
      <c r="BB6" s="20"/>
      <c r="BC6" s="20"/>
      <c r="BD6" s="20"/>
    </row>
    <row r="7" spans="1:56">
      <c r="A7" s="20"/>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row>
    <row r="8" spans="1:56">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row>
    <row r="9" spans="1:56">
      <c r="A9" s="20"/>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row>
    <row r="10" spans="1:56">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D10" s="20"/>
    </row>
    <row r="11" spans="1:56">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row>
    <row r="12" spans="1:56">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D12" s="20"/>
    </row>
    <row r="13" spans="1:56">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row>
    <row r="14" spans="1:56">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D14" s="20"/>
    </row>
    <row r="15" spans="1:56">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0"/>
      <c r="AY15" s="20"/>
      <c r="AZ15" s="20"/>
      <c r="BA15" s="20"/>
      <c r="BB15" s="20"/>
      <c r="BC15" s="20"/>
      <c r="BD15" s="20"/>
    </row>
    <row r="16" spans="1:56">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c r="AV16" s="20"/>
      <c r="AW16" s="20"/>
      <c r="AX16" s="20"/>
      <c r="AY16" s="20"/>
      <c r="AZ16" s="20"/>
      <c r="BA16" s="20"/>
      <c r="BB16" s="20"/>
      <c r="BC16" s="20"/>
      <c r="BD16" s="20"/>
    </row>
    <row r="17" spans="1:56">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c r="AR17" s="20"/>
      <c r="AS17" s="20"/>
      <c r="AT17" s="20"/>
      <c r="AU17" s="20"/>
      <c r="AV17" s="20"/>
      <c r="AW17" s="20"/>
      <c r="AX17" s="20"/>
      <c r="AY17" s="20"/>
      <c r="AZ17" s="20"/>
      <c r="BA17" s="20"/>
      <c r="BB17" s="20"/>
      <c r="BC17" s="20"/>
      <c r="BD17" s="20"/>
    </row>
    <row r="18" spans="1:56">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20"/>
      <c r="AR18" s="20"/>
      <c r="AS18" s="20"/>
      <c r="AT18" s="20"/>
      <c r="AU18" s="20"/>
      <c r="AV18" s="20"/>
      <c r="AW18" s="20"/>
      <c r="AX18" s="20"/>
      <c r="AY18" s="20"/>
      <c r="AZ18" s="20"/>
      <c r="BA18" s="20"/>
      <c r="BB18" s="20"/>
      <c r="BC18" s="20"/>
      <c r="BD18" s="20"/>
    </row>
    <row r="19" spans="1:56">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c r="AP19" s="20"/>
      <c r="AQ19" s="20"/>
      <c r="AR19" s="20"/>
      <c r="AS19" s="20"/>
      <c r="AT19" s="20"/>
      <c r="AU19" s="20"/>
      <c r="AV19" s="20"/>
      <c r="AW19" s="20"/>
      <c r="AX19" s="20"/>
      <c r="AY19" s="20"/>
      <c r="AZ19" s="20"/>
      <c r="BA19" s="20"/>
      <c r="BB19" s="20"/>
      <c r="BC19" s="20"/>
      <c r="BD19" s="20"/>
    </row>
    <row r="20" spans="1:56">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20"/>
      <c r="AR20" s="20"/>
      <c r="AS20" s="20"/>
      <c r="AT20" s="20"/>
      <c r="AU20" s="20"/>
      <c r="AV20" s="20"/>
      <c r="AW20" s="20"/>
      <c r="AX20" s="20"/>
      <c r="AY20" s="20"/>
      <c r="AZ20" s="20"/>
      <c r="BA20" s="20"/>
      <c r="BB20" s="20"/>
      <c r="BC20" s="20"/>
      <c r="BD20" s="20"/>
    </row>
    <row r="21" spans="1:56">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20"/>
      <c r="AR21" s="20"/>
      <c r="AS21" s="20"/>
      <c r="AT21" s="20"/>
      <c r="AU21" s="20"/>
      <c r="AV21" s="20"/>
      <c r="AW21" s="20"/>
      <c r="AX21" s="20"/>
      <c r="AY21" s="20"/>
      <c r="AZ21" s="20"/>
      <c r="BA21" s="20"/>
      <c r="BB21" s="20"/>
      <c r="BC21" s="20"/>
      <c r="BD21" s="20"/>
    </row>
    <row r="22" spans="1:56">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c r="AN22" s="20"/>
      <c r="AO22" s="20"/>
      <c r="AP22" s="20"/>
      <c r="AQ22" s="20"/>
      <c r="AR22" s="20"/>
      <c r="AS22" s="20"/>
      <c r="AT22" s="20"/>
      <c r="AU22" s="20"/>
      <c r="AV22" s="20"/>
      <c r="AW22" s="20"/>
      <c r="AX22" s="20"/>
      <c r="AY22" s="20"/>
      <c r="AZ22" s="20"/>
      <c r="BA22" s="20"/>
      <c r="BB22" s="20"/>
      <c r="BC22" s="20"/>
      <c r="BD22" s="20"/>
    </row>
    <row r="23" spans="1:56">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20"/>
      <c r="AR23" s="20"/>
      <c r="AS23" s="20"/>
      <c r="AT23" s="20"/>
      <c r="AU23" s="20"/>
      <c r="AV23" s="20"/>
      <c r="AW23" s="20"/>
      <c r="AX23" s="20"/>
      <c r="AY23" s="20"/>
      <c r="AZ23" s="20"/>
      <c r="BA23" s="20"/>
      <c r="BB23" s="20"/>
      <c r="BC23" s="20"/>
      <c r="BD23" s="20"/>
    </row>
    <row r="24" spans="1:56" ht="15.6">
      <c r="A24" s="20"/>
      <c r="B24" s="20"/>
      <c r="C24" s="20"/>
      <c r="D24" s="20"/>
      <c r="E24" s="20"/>
      <c r="F24" s="20"/>
      <c r="G24" s="20"/>
      <c r="H24" s="20"/>
      <c r="I24" s="20"/>
      <c r="J24" s="20"/>
      <c r="K24" s="20"/>
      <c r="L24" s="20"/>
      <c r="M24" s="20"/>
      <c r="N24" s="20" t="s">
        <v>1068</v>
      </c>
      <c r="O24" s="20"/>
      <c r="P24" s="20"/>
      <c r="Q24" s="20"/>
      <c r="R24" s="34"/>
      <c r="S24" s="35" t="str" cm="1">
        <f t="array" ref="S24:W24">Pivots!B95:F95</f>
        <v>R01</v>
      </c>
      <c r="T24" s="35" t="str">
        <v>R02</v>
      </c>
      <c r="U24" s="35" t="str">
        <v>R03</v>
      </c>
      <c r="V24" s="35" t="str">
        <v>R04</v>
      </c>
      <c r="W24" s="35" t="str">
        <v>R05</v>
      </c>
      <c r="X24" s="36" t="s">
        <v>1078</v>
      </c>
      <c r="Y24" s="20"/>
      <c r="Z24" s="20"/>
      <c r="AA24" s="20"/>
      <c r="AB24" s="20"/>
      <c r="AC24" s="20"/>
      <c r="AD24" s="20"/>
      <c r="AE24" s="20"/>
      <c r="AF24" s="20"/>
      <c r="AG24" s="20"/>
      <c r="AH24" s="20"/>
      <c r="AI24" s="20"/>
      <c r="AJ24" s="20"/>
      <c r="AK24" s="20"/>
      <c r="AL24" s="20"/>
      <c r="AM24" s="20"/>
      <c r="AN24" s="20"/>
      <c r="AO24" s="20"/>
      <c r="AP24" s="20"/>
      <c r="AQ24" s="20"/>
      <c r="AR24" s="20"/>
      <c r="AS24" s="20"/>
      <c r="AT24" s="20"/>
      <c r="AU24" s="20"/>
      <c r="AV24" s="20"/>
      <c r="AW24" s="20"/>
      <c r="AX24" s="20"/>
      <c r="AY24" s="20"/>
      <c r="AZ24" s="20"/>
      <c r="BA24" s="20"/>
      <c r="BB24" s="20"/>
      <c r="BC24" s="20"/>
      <c r="BD24" s="20"/>
    </row>
    <row r="25" spans="1:56" ht="15.6">
      <c r="A25" s="20"/>
      <c r="B25" s="20"/>
      <c r="C25" s="20"/>
      <c r="D25" s="20"/>
      <c r="E25" s="20"/>
      <c r="F25" s="20"/>
      <c r="G25" s="20"/>
      <c r="H25" s="20"/>
      <c r="I25" s="20"/>
      <c r="J25" s="20"/>
      <c r="K25" s="20"/>
      <c r="L25" s="20"/>
      <c r="M25" s="20"/>
      <c r="N25" s="20"/>
      <c r="O25" s="20"/>
      <c r="P25" s="20"/>
      <c r="Q25" s="20"/>
      <c r="R25" s="37" t="str" cm="1">
        <f t="array" ref="R25:X42">IF(Pivots!A96:G113="","",Pivots!A96:G113)</f>
        <v>Cincinnati</v>
      </c>
      <c r="S25" s="38" t="str">
        <v/>
      </c>
      <c r="T25" s="38" t="str">
        <v/>
      </c>
      <c r="U25" s="38" t="str">
        <v/>
      </c>
      <c r="V25" s="38" t="str">
        <v/>
      </c>
      <c r="W25" s="38" t="str">
        <v/>
      </c>
      <c r="X25" s="39" t="str">
        <v/>
      </c>
      <c r="Y25" s="20"/>
      <c r="Z25" s="20"/>
      <c r="AA25" s="20"/>
      <c r="AB25" s="20"/>
      <c r="AC25" s="20"/>
      <c r="AD25" s="20"/>
      <c r="AE25" s="20"/>
      <c r="AF25" s="20"/>
      <c r="AG25" s="20"/>
      <c r="AH25" s="20"/>
      <c r="AI25" s="20"/>
      <c r="AJ25" s="20"/>
      <c r="AK25" s="20"/>
      <c r="AL25" s="20"/>
      <c r="AM25" s="20"/>
      <c r="AN25" s="20"/>
      <c r="AO25" s="20"/>
      <c r="AP25" s="20"/>
      <c r="AQ25" s="20"/>
      <c r="AR25" s="20"/>
      <c r="AS25" s="20"/>
      <c r="AT25" s="20"/>
      <c r="AU25" s="20"/>
      <c r="AV25" s="20"/>
      <c r="AW25" s="20"/>
      <c r="AX25" s="20"/>
      <c r="AY25" s="20"/>
      <c r="AZ25" s="20"/>
      <c r="BA25" s="20"/>
      <c r="BB25" s="20"/>
      <c r="BC25" s="20"/>
      <c r="BD25" s="20"/>
    </row>
    <row r="26" spans="1:56" ht="15.6">
      <c r="A26" s="20"/>
      <c r="B26" s="20"/>
      <c r="C26" s="20"/>
      <c r="D26" s="20"/>
      <c r="E26" s="20"/>
      <c r="F26" s="20"/>
      <c r="G26" s="20"/>
      <c r="H26" s="20"/>
      <c r="I26" s="20"/>
      <c r="J26" s="20"/>
      <c r="K26" s="20"/>
      <c r="L26" s="20"/>
      <c r="M26" s="20"/>
      <c r="N26" s="20"/>
      <c r="O26" s="20"/>
      <c r="P26" s="20"/>
      <c r="Q26" s="20"/>
      <c r="R26" s="40" t="str">
        <v>C0003</v>
      </c>
      <c r="S26" s="41">
        <v>891</v>
      </c>
      <c r="T26" s="41">
        <v>1332</v>
      </c>
      <c r="U26" s="41">
        <v>1282</v>
      </c>
      <c r="V26" s="41">
        <v>739</v>
      </c>
      <c r="W26" s="41">
        <v>560</v>
      </c>
      <c r="X26" s="42">
        <v>4804</v>
      </c>
      <c r="Y26" s="20"/>
      <c r="Z26" s="20"/>
      <c r="AA26" s="20"/>
      <c r="AB26" s="20"/>
      <c r="AC26" s="20"/>
      <c r="AD26" s="20"/>
      <c r="AE26" s="20"/>
      <c r="AF26" s="20"/>
      <c r="AG26" s="20"/>
      <c r="AH26" s="20"/>
      <c r="AI26" s="20"/>
      <c r="AJ26" s="20"/>
      <c r="AK26" s="20"/>
      <c r="AL26" s="20"/>
      <c r="AM26" s="20"/>
      <c r="AN26" s="20"/>
      <c r="AO26" s="20"/>
      <c r="AP26" s="20"/>
      <c r="AQ26" s="20"/>
      <c r="AR26" s="20"/>
      <c r="AS26" s="20"/>
      <c r="AT26" s="20"/>
      <c r="AU26" s="20"/>
      <c r="AV26" s="20"/>
      <c r="AW26" s="20"/>
      <c r="AX26" s="20"/>
      <c r="AY26" s="20"/>
      <c r="AZ26" s="20"/>
      <c r="BA26" s="20"/>
      <c r="BB26" s="20"/>
      <c r="BC26" s="20"/>
      <c r="BD26" s="20"/>
    </row>
    <row r="27" spans="1:56" ht="15.6">
      <c r="A27" s="20"/>
      <c r="B27" s="20"/>
      <c r="C27" s="20"/>
      <c r="D27" s="20"/>
      <c r="E27" s="20"/>
      <c r="F27" s="20"/>
      <c r="G27" s="20"/>
      <c r="H27" s="20"/>
      <c r="I27" s="20"/>
      <c r="J27" s="20"/>
      <c r="K27" s="20"/>
      <c r="L27" s="20"/>
      <c r="M27" s="20"/>
      <c r="N27" s="20"/>
      <c r="O27" s="20"/>
      <c r="P27" s="20"/>
      <c r="Q27" s="20"/>
      <c r="R27" s="40" t="str">
        <v>C0004</v>
      </c>
      <c r="S27" s="41">
        <v>1991</v>
      </c>
      <c r="T27" s="41">
        <v>1886</v>
      </c>
      <c r="U27" s="41">
        <v>1206</v>
      </c>
      <c r="V27" s="41">
        <v>884</v>
      </c>
      <c r="W27" s="41">
        <v>1722</v>
      </c>
      <c r="X27" s="42">
        <v>7689</v>
      </c>
      <c r="Y27" s="20"/>
      <c r="Z27" s="20"/>
      <c r="AA27" s="20"/>
      <c r="AB27" s="20"/>
      <c r="AC27" s="20"/>
      <c r="AD27" s="20"/>
      <c r="AE27" s="20"/>
      <c r="AF27" s="20"/>
      <c r="AG27" s="20"/>
      <c r="AH27" s="20"/>
      <c r="AI27" s="20"/>
      <c r="AJ27" s="20"/>
      <c r="AK27" s="20"/>
      <c r="AL27" s="20"/>
      <c r="AM27" s="20"/>
      <c r="AN27" s="20"/>
      <c r="AO27" s="20"/>
      <c r="AP27" s="20"/>
      <c r="AQ27" s="20"/>
      <c r="AR27" s="20"/>
      <c r="AS27" s="20"/>
      <c r="AT27" s="20"/>
      <c r="AU27" s="20"/>
      <c r="AV27" s="20"/>
      <c r="AW27" s="20"/>
      <c r="AX27" s="20"/>
      <c r="AY27" s="20"/>
      <c r="AZ27" s="20"/>
      <c r="BA27" s="20"/>
      <c r="BB27" s="20"/>
      <c r="BC27" s="20"/>
      <c r="BD27" s="20"/>
    </row>
    <row r="28" spans="1:56" ht="15.6">
      <c r="A28" s="20"/>
      <c r="B28" s="20"/>
      <c r="C28" s="20"/>
      <c r="D28" s="20"/>
      <c r="E28" s="20"/>
      <c r="F28" s="20"/>
      <c r="G28" s="20"/>
      <c r="H28" s="20"/>
      <c r="I28" s="20"/>
      <c r="J28" s="20"/>
      <c r="K28" s="20"/>
      <c r="L28" s="20"/>
      <c r="M28" s="20"/>
      <c r="N28" s="20"/>
      <c r="O28" s="20"/>
      <c r="P28" s="20"/>
      <c r="Q28" s="20"/>
      <c r="R28" s="40" t="str">
        <v>C0011</v>
      </c>
      <c r="S28" s="41">
        <v>1163</v>
      </c>
      <c r="T28" s="41">
        <v>1180</v>
      </c>
      <c r="U28" s="41">
        <v>1616</v>
      </c>
      <c r="V28" s="41">
        <v>1043</v>
      </c>
      <c r="W28" s="41">
        <v>1747</v>
      </c>
      <c r="X28" s="42">
        <v>6749</v>
      </c>
      <c r="Y28" s="20"/>
      <c r="Z28" s="20"/>
      <c r="AA28" s="20"/>
      <c r="AB28" s="20"/>
      <c r="AC28" s="20"/>
      <c r="AD28" s="20"/>
      <c r="AE28" s="20"/>
      <c r="AF28" s="20"/>
      <c r="AG28" s="20"/>
      <c r="AH28" s="20"/>
      <c r="AI28" s="20"/>
      <c r="AJ28" s="20"/>
      <c r="AK28" s="20"/>
      <c r="AL28" s="20"/>
      <c r="AM28" s="20"/>
      <c r="AN28" s="20"/>
      <c r="AO28" s="20"/>
      <c r="AP28" s="20"/>
      <c r="AQ28" s="20"/>
      <c r="AR28" s="20"/>
      <c r="AS28" s="20"/>
      <c r="AT28" s="20"/>
      <c r="AU28" s="20"/>
      <c r="AV28" s="20"/>
      <c r="AW28" s="20"/>
      <c r="AX28" s="20"/>
      <c r="AY28" s="20"/>
      <c r="AZ28" s="20"/>
      <c r="BA28" s="20"/>
      <c r="BB28" s="20"/>
      <c r="BC28" s="20"/>
      <c r="BD28" s="20"/>
    </row>
    <row r="29" spans="1:56" ht="15.6">
      <c r="A29" s="20"/>
      <c r="B29" s="20"/>
      <c r="C29" s="20"/>
      <c r="D29" s="20"/>
      <c r="E29" s="20"/>
      <c r="F29" s="20"/>
      <c r="G29" s="20"/>
      <c r="H29" s="20"/>
      <c r="I29" s="20"/>
      <c r="J29" s="20"/>
      <c r="K29" s="20"/>
      <c r="L29" s="20"/>
      <c r="M29" s="20"/>
      <c r="N29" s="20"/>
      <c r="O29" s="20"/>
      <c r="P29" s="20"/>
      <c r="Q29" s="20"/>
      <c r="R29" s="40" t="str">
        <v>C0012</v>
      </c>
      <c r="S29" s="41">
        <v>1438</v>
      </c>
      <c r="T29" s="41">
        <v>1616</v>
      </c>
      <c r="U29" s="41">
        <v>866</v>
      </c>
      <c r="V29" s="41">
        <v>829</v>
      </c>
      <c r="W29" s="41">
        <v>2070</v>
      </c>
      <c r="X29" s="42">
        <v>6819</v>
      </c>
      <c r="Y29" s="20"/>
      <c r="Z29" s="20"/>
      <c r="AA29" s="20"/>
      <c r="AB29" s="20"/>
      <c r="AC29" s="20"/>
      <c r="AD29" s="20"/>
      <c r="AE29" s="20"/>
      <c r="AF29" s="20"/>
      <c r="AG29" s="20"/>
      <c r="AH29" s="20"/>
      <c r="AI29" s="20"/>
      <c r="AJ29" s="20"/>
      <c r="AK29" s="20"/>
      <c r="AL29" s="20"/>
      <c r="AM29" s="20"/>
      <c r="AN29" s="20"/>
      <c r="AO29" s="20"/>
      <c r="AP29" s="20"/>
      <c r="AQ29" s="20"/>
      <c r="AR29" s="20"/>
      <c r="AS29" s="20"/>
      <c r="AT29" s="20"/>
      <c r="AU29" s="20"/>
      <c r="AV29" s="20"/>
      <c r="AW29" s="20"/>
      <c r="AX29" s="20"/>
      <c r="AY29" s="20"/>
      <c r="AZ29" s="20"/>
      <c r="BA29" s="20"/>
      <c r="BB29" s="20"/>
      <c r="BC29" s="20"/>
      <c r="BD29" s="20"/>
    </row>
    <row r="30" spans="1:56" ht="15.6">
      <c r="A30" s="20"/>
      <c r="B30" s="20"/>
      <c r="C30" s="20"/>
      <c r="D30" s="20"/>
      <c r="E30" s="20"/>
      <c r="F30" s="20"/>
      <c r="G30" s="20"/>
      <c r="H30" s="20"/>
      <c r="I30" s="20"/>
      <c r="J30" s="20"/>
      <c r="K30" s="20"/>
      <c r="L30" s="20"/>
      <c r="M30" s="20"/>
      <c r="N30" s="20"/>
      <c r="O30" s="20"/>
      <c r="P30" s="20"/>
      <c r="Q30" s="20"/>
      <c r="R30" s="37" t="str">
        <v>Cleveland</v>
      </c>
      <c r="S30" s="41" t="str">
        <v/>
      </c>
      <c r="T30" s="41" t="str">
        <v/>
      </c>
      <c r="U30" s="41" t="str">
        <v/>
      </c>
      <c r="V30" s="41" t="str">
        <v/>
      </c>
      <c r="W30" s="41" t="str">
        <v/>
      </c>
      <c r="X30" s="42" t="str">
        <v/>
      </c>
      <c r="Y30" s="20"/>
      <c r="Z30" s="20"/>
      <c r="AA30" s="20"/>
      <c r="AB30" s="20"/>
      <c r="AC30" s="20"/>
      <c r="AD30" s="20"/>
      <c r="AE30" s="20"/>
      <c r="AF30" s="20"/>
      <c r="AG30" s="20"/>
      <c r="AH30" s="20"/>
      <c r="AI30" s="20"/>
      <c r="AJ30" s="20"/>
      <c r="AK30" s="20"/>
      <c r="AL30" s="20"/>
      <c r="AM30" s="20"/>
      <c r="AN30" s="20"/>
      <c r="AO30" s="20"/>
      <c r="AP30" s="20"/>
      <c r="AQ30" s="20"/>
      <c r="AR30" s="20"/>
      <c r="AS30" s="20"/>
      <c r="AT30" s="20"/>
      <c r="AU30" s="20"/>
      <c r="AV30" s="20"/>
      <c r="AW30" s="20"/>
      <c r="AX30" s="20"/>
      <c r="AY30" s="20"/>
      <c r="AZ30" s="20"/>
      <c r="BA30" s="20"/>
      <c r="BB30" s="20"/>
      <c r="BC30" s="20"/>
      <c r="BD30" s="20"/>
    </row>
    <row r="31" spans="1:56" ht="15.6">
      <c r="A31" s="20"/>
      <c r="B31" s="20"/>
      <c r="C31" s="20"/>
      <c r="D31" s="20"/>
      <c r="E31" s="20"/>
      <c r="F31" s="20"/>
      <c r="G31" s="20"/>
      <c r="H31" s="20"/>
      <c r="I31" s="20"/>
      <c r="J31" s="20"/>
      <c r="K31" s="20"/>
      <c r="L31" s="20"/>
      <c r="M31" s="20"/>
      <c r="N31" s="20"/>
      <c r="O31" s="20"/>
      <c r="P31" s="20"/>
      <c r="Q31" s="20"/>
      <c r="R31" s="40" t="str">
        <v>C0002</v>
      </c>
      <c r="S31" s="41">
        <v>1233</v>
      </c>
      <c r="T31" s="41">
        <v>223</v>
      </c>
      <c r="U31" s="41">
        <v>1680</v>
      </c>
      <c r="V31" s="41">
        <v>990</v>
      </c>
      <c r="W31" s="41">
        <v>1508</v>
      </c>
      <c r="X31" s="42">
        <v>5634</v>
      </c>
      <c r="Y31" s="20"/>
      <c r="Z31" s="20"/>
      <c r="AA31" s="20"/>
      <c r="AB31" s="20"/>
      <c r="AC31" s="20"/>
      <c r="AD31" s="20"/>
      <c r="AE31" s="20"/>
      <c r="AF31" s="20"/>
      <c r="AG31" s="20"/>
      <c r="AH31" s="20"/>
      <c r="AI31" s="20"/>
      <c r="AJ31" s="20"/>
      <c r="AK31" s="20"/>
      <c r="AL31" s="20"/>
      <c r="AM31" s="20"/>
      <c r="AN31" s="20"/>
      <c r="AO31" s="20"/>
      <c r="AP31" s="20"/>
      <c r="AQ31" s="20"/>
      <c r="AR31" s="20"/>
      <c r="AS31" s="20"/>
      <c r="AT31" s="20"/>
      <c r="AU31" s="20"/>
      <c r="AV31" s="20"/>
      <c r="AW31" s="20"/>
      <c r="AX31" s="20"/>
      <c r="AY31" s="20"/>
      <c r="AZ31" s="20"/>
      <c r="BA31" s="20"/>
      <c r="BB31" s="20"/>
      <c r="BC31" s="20"/>
      <c r="BD31" s="20"/>
    </row>
    <row r="32" spans="1:56" ht="15.6">
      <c r="A32" s="20"/>
      <c r="B32" s="20"/>
      <c r="C32" s="20"/>
      <c r="D32" s="20"/>
      <c r="E32" s="20"/>
      <c r="F32" s="20"/>
      <c r="G32" s="20"/>
      <c r="H32" s="20"/>
      <c r="I32" s="20"/>
      <c r="J32" s="20"/>
      <c r="K32" s="20"/>
      <c r="L32" s="20"/>
      <c r="M32" s="20"/>
      <c r="N32" s="20"/>
      <c r="O32" s="20"/>
      <c r="P32" s="20"/>
      <c r="Q32" s="20"/>
      <c r="R32" s="40" t="str">
        <v>C0007</v>
      </c>
      <c r="S32" s="41">
        <v>1598</v>
      </c>
      <c r="T32" s="41">
        <v>1907</v>
      </c>
      <c r="U32" s="41">
        <v>869</v>
      </c>
      <c r="V32" s="41">
        <v>1426</v>
      </c>
      <c r="W32" s="41">
        <v>1416</v>
      </c>
      <c r="X32" s="42">
        <v>7216</v>
      </c>
      <c r="Y32" s="20"/>
      <c r="Z32" s="20"/>
      <c r="AA32" s="20"/>
      <c r="AB32" s="20"/>
      <c r="AC32" s="20"/>
      <c r="AD32" s="20"/>
      <c r="AE32" s="20"/>
      <c r="AF32" s="20"/>
      <c r="AG32" s="20"/>
      <c r="AH32" s="20"/>
      <c r="AI32" s="20"/>
      <c r="AJ32" s="20"/>
      <c r="AK32" s="20"/>
      <c r="AL32" s="20"/>
      <c r="AM32" s="20"/>
      <c r="AN32" s="20"/>
      <c r="AO32" s="20"/>
      <c r="AP32" s="20"/>
      <c r="AQ32" s="20"/>
      <c r="AR32" s="20"/>
      <c r="AS32" s="20"/>
      <c r="AT32" s="20"/>
      <c r="AU32" s="20"/>
      <c r="AV32" s="20"/>
      <c r="AW32" s="20"/>
      <c r="AX32" s="20"/>
      <c r="AY32" s="20"/>
      <c r="AZ32" s="20"/>
      <c r="BA32" s="20"/>
      <c r="BB32" s="20"/>
      <c r="BC32" s="20"/>
      <c r="BD32" s="20"/>
    </row>
    <row r="33" spans="1:56" ht="15.6">
      <c r="A33" s="20"/>
      <c r="B33" s="20"/>
      <c r="C33" s="20"/>
      <c r="D33" s="20"/>
      <c r="E33" s="20"/>
      <c r="F33" s="20"/>
      <c r="G33" s="20"/>
      <c r="H33" s="20"/>
      <c r="I33" s="20"/>
      <c r="J33" s="20"/>
      <c r="K33" s="20"/>
      <c r="L33" s="20"/>
      <c r="M33" s="20"/>
      <c r="N33" s="20"/>
      <c r="O33" s="20"/>
      <c r="P33" s="20"/>
      <c r="Q33" s="20"/>
      <c r="R33" s="40" t="str">
        <v>C0008</v>
      </c>
      <c r="S33" s="41">
        <v>900</v>
      </c>
      <c r="T33" s="41">
        <v>1016</v>
      </c>
      <c r="U33" s="41">
        <v>960</v>
      </c>
      <c r="V33" s="41">
        <v>940</v>
      </c>
      <c r="W33" s="41">
        <v>1193</v>
      </c>
      <c r="X33" s="42">
        <v>5009</v>
      </c>
      <c r="Y33" s="20"/>
      <c r="Z33" s="20"/>
      <c r="AA33" s="20"/>
      <c r="AB33" s="20"/>
      <c r="AC33" s="20"/>
      <c r="AD33" s="20"/>
      <c r="AE33" s="20"/>
      <c r="AF33" s="20"/>
      <c r="AG33" s="20"/>
      <c r="AH33" s="20"/>
      <c r="AI33" s="20"/>
      <c r="AJ33" s="20"/>
      <c r="AK33" s="20"/>
      <c r="AL33" s="20"/>
      <c r="AM33" s="20"/>
      <c r="AN33" s="20"/>
      <c r="AO33" s="20"/>
      <c r="AP33" s="20"/>
      <c r="AQ33" s="20"/>
      <c r="AR33" s="20"/>
      <c r="AS33" s="20"/>
      <c r="AT33" s="20"/>
      <c r="AU33" s="20"/>
      <c r="AV33" s="20"/>
      <c r="AW33" s="20"/>
      <c r="AX33" s="20"/>
      <c r="AY33" s="20"/>
      <c r="AZ33" s="20"/>
      <c r="BA33" s="20"/>
      <c r="BB33" s="20"/>
      <c r="BC33" s="20"/>
      <c r="BD33" s="20"/>
    </row>
    <row r="34" spans="1:56" ht="15.6">
      <c r="A34" s="20"/>
      <c r="B34" s="20"/>
      <c r="C34" s="20"/>
      <c r="D34" s="20"/>
      <c r="E34" s="20"/>
      <c r="F34" s="20"/>
      <c r="G34" s="20"/>
      <c r="H34" s="20"/>
      <c r="I34" s="20"/>
      <c r="J34" s="20"/>
      <c r="K34" s="20"/>
      <c r="L34" s="20"/>
      <c r="M34" s="20"/>
      <c r="N34" s="20"/>
      <c r="O34" s="20"/>
      <c r="P34" s="20"/>
      <c r="Q34" s="20"/>
      <c r="R34" s="40" t="str">
        <v>C0010</v>
      </c>
      <c r="S34" s="41">
        <v>900</v>
      </c>
      <c r="T34" s="41">
        <v>1470</v>
      </c>
      <c r="U34" s="41">
        <v>1617</v>
      </c>
      <c r="V34" s="41">
        <v>1314</v>
      </c>
      <c r="W34" s="41">
        <v>941</v>
      </c>
      <c r="X34" s="42">
        <v>6242</v>
      </c>
      <c r="Y34" s="20"/>
      <c r="Z34" s="20"/>
      <c r="AA34" s="20"/>
      <c r="AB34" s="20"/>
      <c r="AC34" s="20"/>
      <c r="AD34" s="20"/>
      <c r="AE34" s="20"/>
      <c r="AF34" s="20"/>
      <c r="AG34" s="20"/>
      <c r="AH34" s="20"/>
      <c r="AI34" s="20"/>
      <c r="AJ34" s="20"/>
      <c r="AK34" s="20"/>
      <c r="AL34" s="20"/>
      <c r="AM34" s="20"/>
      <c r="AN34" s="20"/>
      <c r="AO34" s="20"/>
      <c r="AP34" s="20"/>
      <c r="AQ34" s="20"/>
      <c r="AR34" s="20"/>
      <c r="AS34" s="20"/>
      <c r="AT34" s="20"/>
      <c r="AU34" s="20"/>
      <c r="AV34" s="20"/>
      <c r="AW34" s="20"/>
      <c r="AX34" s="20"/>
      <c r="AY34" s="20"/>
      <c r="AZ34" s="20"/>
      <c r="BA34" s="20"/>
      <c r="BB34" s="20"/>
      <c r="BC34" s="20"/>
      <c r="BD34" s="20"/>
    </row>
    <row r="35" spans="1:56" ht="15.6">
      <c r="A35" s="20"/>
      <c r="B35" s="20"/>
      <c r="C35" s="20"/>
      <c r="D35" s="20"/>
      <c r="E35" s="20"/>
      <c r="F35" s="20"/>
      <c r="G35" s="20"/>
      <c r="H35" s="20"/>
      <c r="I35" s="20"/>
      <c r="J35" s="20"/>
      <c r="K35" s="20"/>
      <c r="L35" s="20"/>
      <c r="M35" s="20"/>
      <c r="N35" s="20"/>
      <c r="O35" s="20"/>
      <c r="P35" s="20"/>
      <c r="Q35" s="20"/>
      <c r="R35" s="40" t="str">
        <v>C0013</v>
      </c>
      <c r="S35" s="41">
        <v>1255</v>
      </c>
      <c r="T35" s="41">
        <v>516</v>
      </c>
      <c r="U35" s="41">
        <v>1874</v>
      </c>
      <c r="V35" s="41">
        <v>1863</v>
      </c>
      <c r="W35" s="41">
        <v>1722</v>
      </c>
      <c r="X35" s="42">
        <v>7230</v>
      </c>
      <c r="Y35" s="20"/>
      <c r="Z35" s="20"/>
      <c r="AA35" s="20"/>
      <c r="AB35" s="20"/>
      <c r="AC35" s="20"/>
      <c r="AD35" s="20"/>
      <c r="AE35" s="20"/>
      <c r="AF35" s="20"/>
      <c r="AG35" s="20"/>
      <c r="AH35" s="20"/>
      <c r="AI35" s="20"/>
      <c r="AJ35" s="20"/>
      <c r="AK35" s="20"/>
      <c r="AL35" s="20"/>
      <c r="AM35" s="20"/>
      <c r="AN35" s="20"/>
      <c r="AO35" s="20"/>
      <c r="AP35" s="20"/>
      <c r="AQ35" s="20"/>
      <c r="AR35" s="20"/>
      <c r="AS35" s="20"/>
      <c r="AT35" s="20"/>
      <c r="AU35" s="20"/>
      <c r="AV35" s="20"/>
      <c r="AW35" s="20"/>
      <c r="AX35" s="20"/>
      <c r="AY35" s="20"/>
      <c r="AZ35" s="20"/>
      <c r="BA35" s="20"/>
      <c r="BB35" s="20"/>
      <c r="BC35" s="20"/>
      <c r="BD35" s="20"/>
    </row>
    <row r="36" spans="1:56" ht="15.6">
      <c r="A36" s="20"/>
      <c r="B36" s="20"/>
      <c r="C36" s="20"/>
      <c r="D36" s="20"/>
      <c r="E36" s="20"/>
      <c r="F36" s="20"/>
      <c r="G36" s="20"/>
      <c r="H36" s="20"/>
      <c r="I36" s="20"/>
      <c r="J36" s="20"/>
      <c r="K36" s="20"/>
      <c r="L36" s="20"/>
      <c r="M36" s="20"/>
      <c r="N36" s="20"/>
      <c r="O36" s="20"/>
      <c r="P36" s="20"/>
      <c r="Q36" s="20"/>
      <c r="R36" s="40" t="str">
        <v>C0015</v>
      </c>
      <c r="S36" s="41">
        <v>1138</v>
      </c>
      <c r="T36" s="41">
        <v>1898</v>
      </c>
      <c r="U36" s="41">
        <v>1482</v>
      </c>
      <c r="V36" s="41">
        <v>846</v>
      </c>
      <c r="W36" s="41">
        <v>1154</v>
      </c>
      <c r="X36" s="42">
        <v>6518</v>
      </c>
      <c r="Y36" s="20"/>
      <c r="Z36" s="20"/>
      <c r="AA36" s="20"/>
      <c r="AB36" s="20"/>
      <c r="AC36" s="20"/>
      <c r="AD36" s="20"/>
      <c r="AE36" s="20"/>
      <c r="AF36" s="20"/>
      <c r="AG36" s="20"/>
      <c r="AH36" s="20"/>
      <c r="AI36" s="20"/>
      <c r="AJ36" s="20"/>
      <c r="AK36" s="20"/>
      <c r="AL36" s="20"/>
      <c r="AM36" s="20"/>
      <c r="AN36" s="20"/>
      <c r="AO36" s="20"/>
      <c r="AP36" s="20"/>
      <c r="AQ36" s="20"/>
      <c r="AR36" s="20"/>
      <c r="AS36" s="20"/>
      <c r="AT36" s="20"/>
      <c r="AU36" s="20"/>
      <c r="AV36" s="20"/>
      <c r="AW36" s="20"/>
      <c r="AX36" s="20"/>
      <c r="AY36" s="20"/>
      <c r="AZ36" s="20"/>
      <c r="BA36" s="20"/>
      <c r="BB36" s="20"/>
      <c r="BC36" s="20"/>
      <c r="BD36" s="20"/>
    </row>
    <row r="37" spans="1:56" ht="15.6">
      <c r="A37" s="20"/>
      <c r="B37" s="20"/>
      <c r="C37" s="20"/>
      <c r="D37" s="20"/>
      <c r="E37" s="20"/>
      <c r="F37" s="20"/>
      <c r="G37" s="20"/>
      <c r="H37" s="20"/>
      <c r="I37" s="20"/>
      <c r="J37" s="20"/>
      <c r="K37" s="20"/>
      <c r="L37" s="20"/>
      <c r="M37" s="20"/>
      <c r="N37" s="20"/>
      <c r="O37" s="31"/>
      <c r="P37" s="31"/>
      <c r="Q37" s="20"/>
      <c r="R37" s="37" t="str">
        <v>Columbus</v>
      </c>
      <c r="S37" s="41" t="str">
        <v/>
      </c>
      <c r="T37" s="41" t="str">
        <v/>
      </c>
      <c r="U37" s="41" t="str">
        <v/>
      </c>
      <c r="V37" s="41" t="str">
        <v/>
      </c>
      <c r="W37" s="41" t="str">
        <v/>
      </c>
      <c r="X37" s="42" t="str">
        <v/>
      </c>
      <c r="Y37" s="20"/>
      <c r="Z37" s="20"/>
      <c r="AA37" s="20"/>
      <c r="AB37" s="20"/>
      <c r="AC37" s="20"/>
      <c r="AD37" s="20"/>
      <c r="AE37" s="20"/>
      <c r="AF37" s="20"/>
      <c r="AG37" s="20"/>
      <c r="AH37" s="20"/>
      <c r="AI37" s="20"/>
      <c r="AJ37" s="20"/>
      <c r="AK37" s="20"/>
      <c r="AL37" s="20"/>
      <c r="AM37" s="20"/>
      <c r="AN37" s="20"/>
      <c r="AO37" s="20"/>
      <c r="AP37" s="20"/>
      <c r="AQ37" s="20"/>
      <c r="AR37" s="20"/>
      <c r="AS37" s="20"/>
      <c r="AT37" s="20"/>
      <c r="AU37" s="20"/>
      <c r="AV37" s="20"/>
      <c r="AW37" s="20"/>
      <c r="AX37" s="20"/>
      <c r="AY37" s="20"/>
      <c r="AZ37" s="20"/>
      <c r="BA37" s="20"/>
      <c r="BB37" s="20"/>
      <c r="BC37" s="20"/>
      <c r="BD37" s="20"/>
    </row>
    <row r="38" spans="1:56" ht="15.6">
      <c r="A38" s="20"/>
      <c r="B38" s="20"/>
      <c r="C38" s="20"/>
      <c r="D38" s="20"/>
      <c r="E38" s="20"/>
      <c r="F38" s="20"/>
      <c r="G38" s="20"/>
      <c r="H38" s="20"/>
      <c r="I38" s="20"/>
      <c r="J38" s="20"/>
      <c r="K38" s="20"/>
      <c r="L38" s="20"/>
      <c r="M38" s="20"/>
      <c r="N38" s="20"/>
      <c r="O38" s="31"/>
      <c r="P38" s="31"/>
      <c r="Q38" s="20"/>
      <c r="R38" s="40" t="str">
        <v>C0001</v>
      </c>
      <c r="S38" s="41">
        <v>1655</v>
      </c>
      <c r="T38" s="41">
        <v>805</v>
      </c>
      <c r="U38" s="41">
        <v>2263</v>
      </c>
      <c r="V38" s="41">
        <v>987</v>
      </c>
      <c r="W38" s="41">
        <v>1075</v>
      </c>
      <c r="X38" s="42">
        <v>6785</v>
      </c>
      <c r="Y38" s="20"/>
      <c r="Z38" s="20"/>
      <c r="AA38" s="20"/>
      <c r="AB38" s="20"/>
      <c r="AC38" s="20"/>
      <c r="AD38" s="20"/>
      <c r="AE38" s="20"/>
      <c r="AF38" s="20"/>
      <c r="AG38" s="20"/>
      <c r="AH38" s="20"/>
      <c r="AI38" s="20"/>
      <c r="AJ38" s="20"/>
      <c r="AK38" s="20"/>
      <c r="AL38" s="20"/>
      <c r="AM38" s="20"/>
      <c r="AN38" s="20"/>
      <c r="AO38" s="20"/>
      <c r="AP38" s="20"/>
      <c r="AQ38" s="20"/>
      <c r="AR38" s="20"/>
      <c r="AS38" s="20"/>
      <c r="AT38" s="20"/>
      <c r="AU38" s="20"/>
      <c r="AV38" s="20"/>
      <c r="AW38" s="20"/>
      <c r="AX38" s="20"/>
      <c r="AY38" s="20"/>
      <c r="AZ38" s="20"/>
      <c r="BA38" s="20"/>
      <c r="BB38" s="20"/>
      <c r="BC38" s="20"/>
      <c r="BD38" s="20"/>
    </row>
    <row r="39" spans="1:56" ht="15.6">
      <c r="A39" s="20"/>
      <c r="B39" s="20"/>
      <c r="C39" s="20"/>
      <c r="D39" s="20"/>
      <c r="E39" s="20"/>
      <c r="F39" s="20"/>
      <c r="G39" s="20"/>
      <c r="H39" s="20"/>
      <c r="I39" s="20"/>
      <c r="J39" s="20"/>
      <c r="K39" s="20"/>
      <c r="L39" s="20"/>
      <c r="M39" s="20"/>
      <c r="N39" s="20"/>
      <c r="O39" s="31"/>
      <c r="P39" s="31"/>
      <c r="Q39" s="20"/>
      <c r="R39" s="40" t="str">
        <v>C0005</v>
      </c>
      <c r="S39" s="41">
        <v>1104</v>
      </c>
      <c r="T39" s="41">
        <v>2280</v>
      </c>
      <c r="U39" s="41">
        <v>1445</v>
      </c>
      <c r="V39" s="41">
        <v>1722</v>
      </c>
      <c r="W39" s="41">
        <v>1196</v>
      </c>
      <c r="X39" s="42">
        <v>7747</v>
      </c>
      <c r="Y39" s="20"/>
      <c r="Z39" s="20"/>
      <c r="AA39" s="20"/>
      <c r="AB39" s="20"/>
      <c r="AC39" s="20"/>
      <c r="AD39" s="20"/>
      <c r="AE39" s="20"/>
      <c r="AF39" s="20"/>
      <c r="AG39" s="20"/>
      <c r="AH39" s="20"/>
      <c r="AI39" s="20"/>
      <c r="AJ39" s="20"/>
      <c r="AK39" s="20"/>
      <c r="AL39" s="20"/>
      <c r="AM39" s="20"/>
      <c r="AN39" s="20"/>
      <c r="AO39" s="20"/>
      <c r="AP39" s="20"/>
      <c r="AQ39" s="20"/>
      <c r="AR39" s="20"/>
      <c r="AS39" s="20"/>
      <c r="AT39" s="20"/>
      <c r="AU39" s="20"/>
      <c r="AV39" s="20"/>
      <c r="AW39" s="20"/>
      <c r="AX39" s="20"/>
      <c r="AY39" s="20"/>
      <c r="AZ39" s="20"/>
      <c r="BA39" s="20"/>
      <c r="BB39" s="20"/>
      <c r="BC39" s="20"/>
      <c r="BD39" s="20"/>
    </row>
    <row r="40" spans="1:56" ht="15.6">
      <c r="A40" s="20"/>
      <c r="B40" s="20"/>
      <c r="C40" s="20"/>
      <c r="D40" s="20"/>
      <c r="E40" s="20"/>
      <c r="F40" s="20"/>
      <c r="G40" s="20"/>
      <c r="H40" s="20"/>
      <c r="I40" s="20"/>
      <c r="J40" s="20"/>
      <c r="K40" s="20"/>
      <c r="L40" s="20"/>
      <c r="M40" s="20"/>
      <c r="N40" s="20"/>
      <c r="O40" s="31"/>
      <c r="P40" s="31"/>
      <c r="Q40" s="20"/>
      <c r="R40" s="40" t="str">
        <v>C0006</v>
      </c>
      <c r="S40" s="41">
        <v>372</v>
      </c>
      <c r="T40" s="41">
        <v>1818</v>
      </c>
      <c r="U40" s="41">
        <v>1346</v>
      </c>
      <c r="V40" s="41">
        <v>1156</v>
      </c>
      <c r="W40" s="41">
        <v>1484</v>
      </c>
      <c r="X40" s="42">
        <v>6176</v>
      </c>
      <c r="Y40" s="20"/>
      <c r="Z40" s="20"/>
      <c r="AA40" s="20"/>
      <c r="AB40" s="20"/>
      <c r="AC40" s="20"/>
      <c r="AD40" s="20"/>
      <c r="AE40" s="20"/>
      <c r="AF40" s="20"/>
      <c r="AG40" s="20"/>
      <c r="AH40" s="20"/>
      <c r="AI40" s="20"/>
      <c r="AJ40" s="20"/>
      <c r="AK40" s="20"/>
      <c r="AL40" s="20"/>
      <c r="AM40" s="20"/>
      <c r="AN40" s="20"/>
      <c r="AO40" s="20"/>
      <c r="AP40" s="20"/>
      <c r="AQ40" s="20"/>
      <c r="AR40" s="20"/>
      <c r="AS40" s="20"/>
      <c r="AT40" s="20"/>
      <c r="AU40" s="20"/>
      <c r="AV40" s="20"/>
      <c r="AW40" s="20"/>
      <c r="AX40" s="20"/>
      <c r="AY40" s="20"/>
      <c r="AZ40" s="20"/>
      <c r="BA40" s="20"/>
      <c r="BB40" s="20"/>
      <c r="BC40" s="20"/>
      <c r="BD40" s="20"/>
    </row>
    <row r="41" spans="1:56" ht="15.6">
      <c r="A41" s="20"/>
      <c r="B41" s="20"/>
      <c r="C41" s="20"/>
      <c r="D41" s="20"/>
      <c r="E41" s="20"/>
      <c r="F41" s="20"/>
      <c r="G41" s="20"/>
      <c r="H41" s="20"/>
      <c r="I41" s="20"/>
      <c r="J41" s="20"/>
      <c r="K41" s="20"/>
      <c r="L41" s="20"/>
      <c r="M41" s="20"/>
      <c r="N41" s="20"/>
      <c r="O41" s="20"/>
      <c r="P41" s="32" t="str">
        <f>Pivots!I70</f>
        <v xml:space="preserve"> % of Calls:19%</v>
      </c>
      <c r="Q41" s="33"/>
      <c r="R41" s="40" t="str">
        <v>C0009</v>
      </c>
      <c r="S41" s="41">
        <v>1415</v>
      </c>
      <c r="T41" s="41">
        <v>1271</v>
      </c>
      <c r="U41" s="41">
        <v>1214</v>
      </c>
      <c r="V41" s="41">
        <v>1135</v>
      </c>
      <c r="W41" s="41">
        <v>1566</v>
      </c>
      <c r="X41" s="42">
        <v>6601</v>
      </c>
      <c r="Y41" s="20"/>
      <c r="Z41" s="20"/>
      <c r="AA41" s="20"/>
      <c r="AB41" s="20"/>
      <c r="AC41" s="20"/>
      <c r="AD41" s="20"/>
      <c r="AE41" s="20"/>
      <c r="AF41" s="20"/>
      <c r="AG41" s="20"/>
      <c r="AH41" s="20"/>
      <c r="AI41" s="20"/>
      <c r="AJ41" s="20"/>
      <c r="AK41" s="20"/>
      <c r="AL41" s="20"/>
      <c r="AM41" s="20"/>
      <c r="AN41" s="20"/>
      <c r="AO41" s="20"/>
      <c r="AP41" s="20"/>
      <c r="AQ41" s="20"/>
      <c r="AR41" s="20"/>
      <c r="AS41" s="20"/>
      <c r="AT41" s="20"/>
      <c r="AU41" s="20"/>
      <c r="AV41" s="20"/>
      <c r="AW41" s="20"/>
      <c r="AX41" s="20"/>
      <c r="AY41" s="20"/>
      <c r="AZ41" s="20"/>
      <c r="BA41" s="20"/>
      <c r="BB41" s="20"/>
      <c r="BC41" s="20"/>
      <c r="BD41" s="20"/>
    </row>
    <row r="42" spans="1:56" ht="15.6">
      <c r="A42" s="20"/>
      <c r="B42" s="20"/>
      <c r="C42" s="20"/>
      <c r="D42" s="20"/>
      <c r="E42" s="20"/>
      <c r="F42" s="20"/>
      <c r="G42" s="20"/>
      <c r="H42" s="20"/>
      <c r="I42" s="20"/>
      <c r="J42" s="20"/>
      <c r="K42" s="20"/>
      <c r="L42" s="20"/>
      <c r="M42" s="20"/>
      <c r="N42" s="20"/>
      <c r="O42" s="20"/>
      <c r="P42" s="32" t="str">
        <f>Pivots!I71</f>
        <v>Call rank:4</v>
      </c>
      <c r="Q42" s="33"/>
      <c r="R42" s="43" t="str">
        <v>C0014</v>
      </c>
      <c r="S42" s="44">
        <v>1362</v>
      </c>
      <c r="T42" s="44">
        <v>1363</v>
      </c>
      <c r="U42" s="44">
        <v>1152</v>
      </c>
      <c r="V42" s="44">
        <v>777</v>
      </c>
      <c r="W42" s="44">
        <v>750</v>
      </c>
      <c r="X42" s="45">
        <v>5404</v>
      </c>
      <c r="Y42" s="20"/>
      <c r="Z42" s="20"/>
      <c r="AA42" s="20"/>
      <c r="AB42" s="20"/>
      <c r="AC42" s="20"/>
      <c r="AD42" s="20"/>
      <c r="AE42" s="20"/>
      <c r="AF42" s="20"/>
      <c r="AG42" s="20"/>
      <c r="AH42" s="20"/>
      <c r="AI42" s="20"/>
      <c r="AJ42" s="20"/>
      <c r="AK42" s="20"/>
      <c r="AL42" s="20"/>
      <c r="AM42" s="20"/>
      <c r="AN42" s="20"/>
      <c r="AO42" s="20"/>
      <c r="AP42" s="20"/>
      <c r="AQ42" s="20"/>
      <c r="AR42" s="20"/>
      <c r="AS42" s="20"/>
      <c r="AT42" s="20"/>
      <c r="AU42" s="20"/>
      <c r="AV42" s="20"/>
      <c r="AW42" s="20"/>
      <c r="AX42" s="20"/>
      <c r="AY42" s="20"/>
      <c r="AZ42" s="20"/>
      <c r="BA42" s="20"/>
      <c r="BB42" s="20"/>
      <c r="BC42" s="20"/>
      <c r="BD42" s="20"/>
    </row>
    <row r="43" spans="1:56">
      <c r="A43" s="20"/>
      <c r="B43" s="20"/>
      <c r="C43" s="20"/>
      <c r="D43" s="20"/>
      <c r="E43" s="20"/>
      <c r="F43" s="20"/>
      <c r="G43" s="20"/>
      <c r="H43" s="20"/>
      <c r="I43" s="20"/>
      <c r="J43" s="20"/>
      <c r="K43" s="20"/>
      <c r="L43" s="20"/>
      <c r="M43" s="20"/>
      <c r="N43" s="20"/>
      <c r="O43" s="20"/>
      <c r="P43" s="32" t="str">
        <f>Pivots!I72</f>
        <v>Amount Rank:4</v>
      </c>
      <c r="Q43" s="32"/>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c r="AR43" s="20"/>
      <c r="AS43" s="20"/>
      <c r="AT43" s="20"/>
      <c r="AU43" s="20"/>
      <c r="AV43" s="20"/>
      <c r="AW43" s="20"/>
      <c r="AX43" s="20"/>
      <c r="AY43" s="20"/>
      <c r="AZ43" s="20"/>
      <c r="BA43" s="20"/>
      <c r="BB43" s="20"/>
      <c r="BC43" s="20"/>
      <c r="BD43" s="20"/>
    </row>
    <row r="44" spans="1:56">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c r="AR44" s="20"/>
      <c r="AS44" s="20"/>
      <c r="AT44" s="20"/>
      <c r="AU44" s="20"/>
      <c r="AV44" s="20"/>
      <c r="AW44" s="20"/>
      <c r="AX44" s="20"/>
      <c r="AY44" s="20"/>
      <c r="AZ44" s="20"/>
      <c r="BA44" s="20"/>
      <c r="BB44" s="20"/>
      <c r="BC44" s="20"/>
      <c r="BD44" s="20"/>
    </row>
    <row r="45" spans="1:56">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c r="AR45" s="20"/>
      <c r="AS45" s="20"/>
      <c r="AT45" s="20"/>
      <c r="AU45" s="20"/>
      <c r="AV45" s="20"/>
      <c r="AW45" s="20"/>
      <c r="AX45" s="20"/>
      <c r="AY45" s="20"/>
      <c r="AZ45" s="20"/>
      <c r="BA45" s="20"/>
      <c r="BB45" s="20"/>
      <c r="BC45" s="20"/>
      <c r="BD45" s="20"/>
    </row>
    <row r="46" spans="1:56">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c r="AR46" s="20"/>
      <c r="AS46" s="20"/>
      <c r="AT46" s="20"/>
      <c r="AU46" s="20"/>
      <c r="AV46" s="20"/>
      <c r="AW46" s="20"/>
      <c r="AX46" s="20"/>
      <c r="AY46" s="20"/>
      <c r="AZ46" s="20"/>
      <c r="BA46" s="20"/>
      <c r="BB46" s="20"/>
      <c r="BC46" s="20"/>
      <c r="BD46" s="20"/>
    </row>
    <row r="47" spans="1:56">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c r="AR47" s="20"/>
      <c r="AS47" s="20"/>
      <c r="AT47" s="20"/>
      <c r="AU47" s="20"/>
      <c r="AV47" s="20"/>
      <c r="AW47" s="20"/>
      <c r="AX47" s="20"/>
      <c r="AY47" s="20"/>
      <c r="AZ47" s="20"/>
      <c r="BA47" s="20"/>
      <c r="BB47" s="20"/>
      <c r="BC47" s="20"/>
      <c r="BD47" s="20"/>
    </row>
    <row r="48" spans="1:56">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c r="AR48" s="20"/>
      <c r="AS48" s="20"/>
      <c r="AT48" s="20"/>
      <c r="AU48" s="20"/>
      <c r="AV48" s="20"/>
      <c r="AW48" s="20"/>
      <c r="AX48" s="20"/>
      <c r="AY48" s="20"/>
      <c r="AZ48" s="20"/>
      <c r="BA48" s="20"/>
      <c r="BB48" s="20"/>
      <c r="BC48" s="20"/>
      <c r="BD48" s="20"/>
    </row>
    <row r="49" spans="1:56">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c r="AR49" s="20"/>
      <c r="AS49" s="20"/>
      <c r="AT49" s="20"/>
      <c r="AU49" s="20"/>
      <c r="AV49" s="20"/>
      <c r="AW49" s="20"/>
      <c r="AX49" s="20"/>
      <c r="AY49" s="20"/>
      <c r="AZ49" s="20"/>
      <c r="BA49" s="20"/>
      <c r="BB49" s="20"/>
      <c r="BC49" s="20"/>
      <c r="BD49" s="20"/>
    </row>
    <row r="50" spans="1:56">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c r="AR50" s="20"/>
      <c r="AS50" s="20"/>
      <c r="AT50" s="20"/>
      <c r="AU50" s="20"/>
      <c r="AV50" s="20"/>
      <c r="AW50" s="20"/>
      <c r="AX50" s="20"/>
      <c r="AY50" s="20"/>
      <c r="AZ50" s="20"/>
      <c r="BA50" s="20"/>
      <c r="BB50" s="20"/>
      <c r="BC50" s="20"/>
      <c r="BD50" s="20"/>
    </row>
    <row r="51" spans="1:56">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c r="AQ51" s="20"/>
      <c r="AR51" s="20"/>
      <c r="AS51" s="20"/>
      <c r="AT51" s="20"/>
      <c r="AU51" s="20"/>
      <c r="AV51" s="20"/>
      <c r="AW51" s="20"/>
      <c r="AX51" s="20"/>
      <c r="AY51" s="20"/>
      <c r="AZ51" s="20"/>
      <c r="BA51" s="20"/>
      <c r="BB51" s="20"/>
      <c r="BC51" s="20"/>
      <c r="BD51" s="20"/>
    </row>
    <row r="52" spans="1:56">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c r="AR52" s="20"/>
      <c r="AS52" s="20"/>
      <c r="AT52" s="20"/>
      <c r="AU52" s="20"/>
      <c r="AV52" s="20"/>
      <c r="AW52" s="20"/>
      <c r="AX52" s="20"/>
      <c r="AY52" s="20"/>
      <c r="AZ52" s="20"/>
      <c r="BA52" s="20"/>
      <c r="BB52" s="20"/>
      <c r="BC52" s="20"/>
      <c r="BD52" s="20"/>
    </row>
    <row r="53" spans="1:56">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c r="AQ53" s="20"/>
      <c r="AR53" s="20"/>
      <c r="AS53" s="20"/>
      <c r="AT53" s="20"/>
      <c r="AU53" s="20"/>
      <c r="AV53" s="20"/>
      <c r="AW53" s="20"/>
      <c r="AX53" s="20"/>
      <c r="AY53" s="20"/>
      <c r="AZ53" s="20"/>
      <c r="BA53" s="20"/>
      <c r="BB53" s="20"/>
      <c r="BC53" s="20"/>
      <c r="BD53" s="20"/>
    </row>
    <row r="54" spans="1:56">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c r="AN54" s="20"/>
      <c r="AO54" s="20"/>
      <c r="AP54" s="20"/>
      <c r="AQ54" s="20"/>
      <c r="AR54" s="20"/>
      <c r="AS54" s="20"/>
      <c r="AT54" s="20"/>
      <c r="AU54" s="20"/>
      <c r="AV54" s="20"/>
      <c r="AW54" s="20"/>
      <c r="AX54" s="20"/>
      <c r="AY54" s="20"/>
      <c r="AZ54" s="20"/>
      <c r="BA54" s="20"/>
      <c r="BB54" s="20"/>
      <c r="BC54" s="20"/>
      <c r="BD54" s="20"/>
    </row>
    <row r="55" spans="1:56">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0"/>
      <c r="AN55" s="20"/>
      <c r="AO55" s="20"/>
      <c r="AP55" s="20"/>
      <c r="AQ55" s="20"/>
      <c r="AR55" s="20"/>
      <c r="AS55" s="20"/>
      <c r="AT55" s="20"/>
      <c r="AU55" s="20"/>
      <c r="AV55" s="20"/>
      <c r="AW55" s="20"/>
      <c r="AX55" s="20"/>
      <c r="AY55" s="20"/>
      <c r="AZ55" s="20"/>
      <c r="BA55" s="20"/>
      <c r="BB55" s="20"/>
      <c r="BC55" s="20"/>
      <c r="BD55" s="20"/>
    </row>
    <row r="56" spans="1:56">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c r="AM56" s="20"/>
      <c r="AN56" s="20"/>
      <c r="AO56" s="20"/>
      <c r="AP56" s="20"/>
      <c r="AQ56" s="20"/>
      <c r="AR56" s="20"/>
      <c r="AS56" s="20"/>
      <c r="AT56" s="20"/>
      <c r="AU56" s="20"/>
      <c r="AV56" s="20"/>
      <c r="AW56" s="20"/>
      <c r="AX56" s="20"/>
      <c r="AY56" s="20"/>
      <c r="AZ56" s="20"/>
      <c r="BA56" s="20"/>
      <c r="BB56" s="20"/>
      <c r="BC56" s="20"/>
      <c r="BD56" s="20"/>
    </row>
    <row r="57" spans="1:56">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c r="AF57" s="20"/>
      <c r="AG57" s="20"/>
      <c r="AH57" s="20"/>
      <c r="AI57" s="20"/>
      <c r="AJ57" s="20"/>
      <c r="AK57" s="20"/>
      <c r="AL57" s="20"/>
      <c r="AM57" s="20"/>
      <c r="AN57" s="20"/>
      <c r="AO57" s="20"/>
      <c r="AP57" s="20"/>
      <c r="AQ57" s="20"/>
      <c r="AR57" s="20"/>
      <c r="AS57" s="20"/>
      <c r="AT57" s="20"/>
      <c r="AU57" s="20"/>
      <c r="AV57" s="20"/>
      <c r="AW57" s="20"/>
      <c r="AX57" s="20"/>
      <c r="AY57" s="20"/>
      <c r="AZ57" s="20"/>
      <c r="BA57" s="20"/>
      <c r="BB57" s="20"/>
      <c r="BC57" s="20"/>
      <c r="BD57" s="20"/>
    </row>
    <row r="58" spans="1:56">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c r="AG58" s="20"/>
      <c r="AH58" s="20"/>
      <c r="AI58" s="20"/>
      <c r="AJ58" s="20"/>
      <c r="AK58" s="20"/>
      <c r="AL58" s="20"/>
      <c r="AM58" s="20"/>
      <c r="AN58" s="20"/>
      <c r="AO58" s="20"/>
      <c r="AP58" s="20"/>
      <c r="AQ58" s="20"/>
      <c r="AR58" s="20"/>
      <c r="AS58" s="20"/>
      <c r="AT58" s="20"/>
      <c r="AU58" s="20"/>
      <c r="AV58" s="20"/>
      <c r="AW58" s="20"/>
      <c r="AX58" s="20"/>
      <c r="AY58" s="20"/>
      <c r="AZ58" s="20"/>
      <c r="BA58" s="20"/>
      <c r="BB58" s="20"/>
      <c r="BC58" s="20"/>
      <c r="BD58" s="20"/>
    </row>
    <row r="59" spans="1:56">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c r="AG59" s="20"/>
      <c r="AH59" s="20"/>
      <c r="AI59" s="20"/>
      <c r="AJ59" s="20"/>
      <c r="AK59" s="20"/>
      <c r="AL59" s="20"/>
      <c r="AM59" s="20"/>
      <c r="AN59" s="20"/>
      <c r="AO59" s="20"/>
      <c r="AP59" s="20"/>
      <c r="AQ59" s="20"/>
      <c r="AR59" s="20"/>
      <c r="AS59" s="20"/>
      <c r="AT59" s="20"/>
      <c r="AU59" s="20"/>
      <c r="AV59" s="20"/>
      <c r="AW59" s="20"/>
      <c r="AX59" s="20"/>
      <c r="AY59" s="20"/>
      <c r="AZ59" s="20"/>
      <c r="BA59" s="20"/>
      <c r="BB59" s="20"/>
      <c r="BC59" s="20"/>
      <c r="BD59" s="20"/>
    </row>
    <row r="60" spans="1:56">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c r="AF60" s="20"/>
      <c r="AG60" s="20"/>
      <c r="AH60" s="20"/>
      <c r="AI60" s="20"/>
      <c r="AJ60" s="20"/>
      <c r="AK60" s="20"/>
      <c r="AL60" s="20"/>
      <c r="AM60" s="20"/>
      <c r="AN60" s="20"/>
      <c r="AO60" s="20"/>
      <c r="AP60" s="20"/>
      <c r="AQ60" s="20"/>
      <c r="AR60" s="20"/>
      <c r="AS60" s="20"/>
      <c r="AT60" s="20"/>
      <c r="AU60" s="20"/>
      <c r="AV60" s="20"/>
      <c r="AW60" s="20"/>
      <c r="AX60" s="20"/>
      <c r="AY60" s="20"/>
      <c r="AZ60" s="20"/>
      <c r="BA60" s="20"/>
      <c r="BB60" s="20"/>
      <c r="BC60" s="20"/>
      <c r="BD60" s="20"/>
    </row>
    <row r="61" spans="1:56">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c r="AG61" s="20"/>
      <c r="AH61" s="20"/>
      <c r="AI61" s="20"/>
      <c r="AJ61" s="20"/>
      <c r="AK61" s="20"/>
      <c r="AL61" s="20"/>
      <c r="AM61" s="20"/>
      <c r="AN61" s="20"/>
      <c r="AO61" s="20"/>
      <c r="AP61" s="20"/>
      <c r="AQ61" s="20"/>
      <c r="AR61" s="20"/>
      <c r="AS61" s="20"/>
      <c r="AT61" s="20"/>
      <c r="AU61" s="20"/>
      <c r="AV61" s="20"/>
      <c r="AW61" s="20"/>
      <c r="AX61" s="20"/>
      <c r="AY61" s="20"/>
      <c r="AZ61" s="20"/>
      <c r="BA61" s="20"/>
      <c r="BB61" s="20"/>
      <c r="BC61" s="20"/>
      <c r="BD61" s="20"/>
    </row>
    <row r="62" spans="1:56">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c r="AI62" s="20"/>
      <c r="AJ62" s="20"/>
      <c r="AK62" s="20"/>
      <c r="AL62" s="20"/>
      <c r="AM62" s="20"/>
      <c r="AN62" s="20"/>
      <c r="AO62" s="20"/>
      <c r="AP62" s="20"/>
      <c r="AQ62" s="20"/>
      <c r="AR62" s="20"/>
      <c r="AS62" s="20"/>
      <c r="AT62" s="20"/>
      <c r="AU62" s="20"/>
      <c r="AV62" s="20"/>
      <c r="AW62" s="20"/>
      <c r="AX62" s="20"/>
      <c r="AY62" s="20"/>
      <c r="AZ62" s="20"/>
      <c r="BA62" s="20"/>
      <c r="BB62" s="20"/>
      <c r="BC62" s="20"/>
      <c r="BD62" s="20"/>
    </row>
    <row r="63" spans="1:56">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c r="AH63" s="20"/>
      <c r="AI63" s="20"/>
      <c r="AJ63" s="20"/>
      <c r="AK63" s="20"/>
      <c r="AL63" s="20"/>
      <c r="AM63" s="20"/>
      <c r="AN63" s="20"/>
      <c r="AO63" s="20"/>
      <c r="AP63" s="20"/>
      <c r="AQ63" s="20"/>
      <c r="AR63" s="20"/>
      <c r="AS63" s="20"/>
      <c r="AT63" s="20"/>
      <c r="AU63" s="20"/>
      <c r="AV63" s="20"/>
      <c r="AW63" s="20"/>
      <c r="AX63" s="20"/>
      <c r="AY63" s="20"/>
      <c r="AZ63" s="20"/>
      <c r="BA63" s="20"/>
      <c r="BB63" s="20"/>
      <c r="BC63" s="20"/>
      <c r="BD63" s="20"/>
    </row>
    <row r="64" spans="1:56">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0"/>
      <c r="AH64" s="20"/>
      <c r="AI64" s="20"/>
      <c r="AJ64" s="20"/>
      <c r="AK64" s="20"/>
      <c r="AL64" s="20"/>
      <c r="AM64" s="20"/>
      <c r="AN64" s="20"/>
      <c r="AO64" s="20"/>
      <c r="AP64" s="20"/>
      <c r="AQ64" s="20"/>
      <c r="AR64" s="20"/>
      <c r="AS64" s="20"/>
      <c r="AT64" s="20"/>
      <c r="AU64" s="20"/>
      <c r="AV64" s="20"/>
      <c r="AW64" s="20"/>
      <c r="AX64" s="20"/>
      <c r="AY64" s="20"/>
      <c r="AZ64" s="20"/>
      <c r="BA64" s="20"/>
      <c r="BB64" s="20"/>
      <c r="BC64" s="20"/>
      <c r="BD64" s="20"/>
    </row>
    <row r="65" spans="1:56">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c r="AH65" s="20"/>
      <c r="AI65" s="20"/>
      <c r="AJ65" s="20"/>
      <c r="AK65" s="20"/>
      <c r="AL65" s="20"/>
      <c r="AM65" s="20"/>
      <c r="AN65" s="20"/>
      <c r="AO65" s="20"/>
      <c r="AP65" s="20"/>
      <c r="AQ65" s="20"/>
      <c r="AR65" s="20"/>
      <c r="AS65" s="20"/>
      <c r="AT65" s="20"/>
      <c r="AU65" s="20"/>
      <c r="AV65" s="20"/>
      <c r="AW65" s="20"/>
      <c r="AX65" s="20"/>
      <c r="AY65" s="20"/>
      <c r="AZ65" s="20"/>
      <c r="BA65" s="20"/>
      <c r="BB65" s="20"/>
      <c r="BC65" s="20"/>
      <c r="BD65" s="20"/>
    </row>
    <row r="66" spans="1:56">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c r="AH66" s="20"/>
      <c r="AI66" s="20"/>
      <c r="AJ66" s="20"/>
      <c r="AK66" s="20"/>
      <c r="AL66" s="20"/>
      <c r="AM66" s="20"/>
      <c r="AN66" s="20"/>
      <c r="AO66" s="20"/>
      <c r="AP66" s="20"/>
      <c r="AQ66" s="20"/>
      <c r="AR66" s="20"/>
      <c r="AS66" s="20"/>
      <c r="AT66" s="20"/>
      <c r="AU66" s="20"/>
      <c r="AV66" s="20"/>
      <c r="AW66" s="20"/>
      <c r="AX66" s="20"/>
      <c r="AY66" s="20"/>
      <c r="AZ66" s="20"/>
      <c r="BA66" s="20"/>
      <c r="BB66" s="20"/>
      <c r="BC66" s="20"/>
      <c r="BD66" s="20"/>
    </row>
    <row r="67" spans="1:56">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c r="AF67" s="20"/>
      <c r="AG67" s="20"/>
      <c r="AH67" s="20"/>
      <c r="AI67" s="20"/>
      <c r="AJ67" s="20"/>
      <c r="AK67" s="20"/>
      <c r="AL67" s="20"/>
      <c r="AM67" s="20"/>
      <c r="AN67" s="20"/>
      <c r="AO67" s="20"/>
      <c r="AP67" s="20"/>
      <c r="AQ67" s="20"/>
      <c r="AR67" s="20"/>
      <c r="AS67" s="20"/>
      <c r="AT67" s="20"/>
      <c r="AU67" s="20"/>
      <c r="AV67" s="20"/>
      <c r="AW67" s="20"/>
      <c r="AX67" s="20"/>
      <c r="AY67" s="20"/>
      <c r="AZ67" s="20"/>
      <c r="BA67" s="20"/>
      <c r="BB67" s="20"/>
      <c r="BC67" s="20"/>
      <c r="BD67" s="20"/>
    </row>
    <row r="68" spans="1:56">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c r="AH68" s="20"/>
      <c r="AI68" s="20"/>
      <c r="AJ68" s="20"/>
      <c r="AK68" s="20"/>
      <c r="AL68" s="20"/>
      <c r="AM68" s="20"/>
      <c r="AN68" s="20"/>
      <c r="AO68" s="20"/>
      <c r="AP68" s="20"/>
      <c r="AQ68" s="20"/>
      <c r="AR68" s="20"/>
      <c r="AS68" s="20"/>
      <c r="AT68" s="20"/>
      <c r="AU68" s="20"/>
      <c r="AV68" s="20"/>
      <c r="AW68" s="20"/>
      <c r="AX68" s="20"/>
      <c r="AY68" s="20"/>
      <c r="AZ68" s="20"/>
      <c r="BA68" s="20"/>
      <c r="BB68" s="20"/>
      <c r="BC68" s="20"/>
      <c r="BD68" s="20"/>
    </row>
    <row r="69" spans="1:56">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c r="AG69" s="20"/>
      <c r="AH69" s="20"/>
      <c r="AI69" s="20"/>
      <c r="AJ69" s="20"/>
      <c r="AK69" s="20"/>
      <c r="AL69" s="20"/>
      <c r="AM69" s="20"/>
      <c r="AN69" s="20"/>
      <c r="AO69" s="20"/>
      <c r="AP69" s="20"/>
      <c r="AQ69" s="20"/>
      <c r="AR69" s="20"/>
      <c r="AS69" s="20"/>
      <c r="AT69" s="20"/>
      <c r="AU69" s="20"/>
      <c r="AV69" s="20"/>
      <c r="AW69" s="20"/>
      <c r="AX69" s="20"/>
      <c r="AY69" s="20"/>
      <c r="AZ69" s="20"/>
      <c r="BA69" s="20"/>
      <c r="BB69" s="20"/>
      <c r="BC69" s="20"/>
      <c r="BD69" s="20"/>
    </row>
    <row r="70" spans="1:56">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c r="AG70" s="20"/>
      <c r="AH70" s="20"/>
      <c r="AI70" s="20"/>
      <c r="AJ70" s="20"/>
      <c r="AK70" s="20"/>
      <c r="AL70" s="20"/>
      <c r="AM70" s="20"/>
      <c r="AN70" s="20"/>
      <c r="AO70" s="20"/>
      <c r="AP70" s="20"/>
      <c r="AQ70" s="20"/>
      <c r="AR70" s="20"/>
      <c r="AS70" s="20"/>
      <c r="AT70" s="20"/>
      <c r="AU70" s="20"/>
      <c r="AV70" s="20"/>
      <c r="AW70" s="20"/>
      <c r="AX70" s="20"/>
      <c r="AY70" s="20"/>
      <c r="AZ70" s="20"/>
      <c r="BA70" s="20"/>
      <c r="BB70" s="20"/>
      <c r="BC70" s="20"/>
      <c r="BD70" s="20"/>
    </row>
    <row r="71" spans="1:56">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c r="AG71" s="20"/>
      <c r="AH71" s="20"/>
      <c r="AI71" s="20"/>
      <c r="AJ71" s="20"/>
      <c r="AK71" s="20"/>
      <c r="AL71" s="20"/>
      <c r="AM71" s="20"/>
      <c r="AN71" s="20"/>
      <c r="AO71" s="20"/>
      <c r="AP71" s="20"/>
      <c r="AQ71" s="20"/>
      <c r="AR71" s="20"/>
      <c r="AS71" s="20"/>
      <c r="AT71" s="20"/>
      <c r="AU71" s="20"/>
      <c r="AV71" s="20"/>
      <c r="AW71" s="20"/>
      <c r="AX71" s="20"/>
      <c r="AY71" s="20"/>
      <c r="AZ71" s="20"/>
      <c r="BA71" s="20"/>
      <c r="BB71" s="20"/>
      <c r="BC71" s="20"/>
      <c r="BD71" s="20"/>
    </row>
    <row r="72" spans="1:56">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c r="AH72" s="20"/>
      <c r="AI72" s="20"/>
      <c r="AJ72" s="20"/>
      <c r="AK72" s="20"/>
      <c r="AL72" s="20"/>
      <c r="AM72" s="20"/>
      <c r="AN72" s="20"/>
      <c r="AO72" s="20"/>
      <c r="AP72" s="20"/>
      <c r="AQ72" s="20"/>
      <c r="AR72" s="20"/>
      <c r="AS72" s="20"/>
      <c r="AT72" s="20"/>
      <c r="AU72" s="20"/>
      <c r="AV72" s="20"/>
      <c r="AW72" s="20"/>
      <c r="AX72" s="20"/>
      <c r="AY72" s="20"/>
      <c r="AZ72" s="20"/>
      <c r="BA72" s="20"/>
      <c r="BB72" s="20"/>
      <c r="BC72" s="20"/>
      <c r="BD72" s="20"/>
    </row>
    <row r="73" spans="1:56">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c r="AF73" s="20"/>
      <c r="AG73" s="20"/>
      <c r="AH73" s="20"/>
      <c r="AI73" s="20"/>
      <c r="AJ73" s="20"/>
      <c r="AK73" s="20"/>
      <c r="AL73" s="20"/>
      <c r="AM73" s="20"/>
      <c r="AN73" s="20"/>
      <c r="AO73" s="20"/>
      <c r="AP73" s="20"/>
      <c r="AQ73" s="20"/>
      <c r="AR73" s="20"/>
      <c r="AS73" s="20"/>
      <c r="AT73" s="20"/>
      <c r="AU73" s="20"/>
      <c r="AV73" s="20"/>
      <c r="AW73" s="20"/>
      <c r="AX73" s="20"/>
      <c r="AY73" s="20"/>
      <c r="AZ73" s="20"/>
      <c r="BA73" s="20"/>
      <c r="BB73" s="20"/>
      <c r="BC73" s="20"/>
      <c r="BD73" s="20"/>
    </row>
    <row r="74" spans="1:56">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c r="AF74" s="20"/>
      <c r="AG74" s="20"/>
      <c r="AH74" s="20"/>
      <c r="AI74" s="20"/>
      <c r="AJ74" s="20"/>
      <c r="AK74" s="20"/>
      <c r="AL74" s="20"/>
      <c r="AM74" s="20"/>
      <c r="AN74" s="20"/>
      <c r="AO74" s="20"/>
      <c r="AP74" s="20"/>
      <c r="AQ74" s="20"/>
      <c r="AR74" s="20"/>
      <c r="AS74" s="20"/>
      <c r="AT74" s="20"/>
      <c r="AU74" s="20"/>
      <c r="AV74" s="20"/>
      <c r="AW74" s="20"/>
      <c r="AX74" s="20"/>
      <c r="AY74" s="20"/>
      <c r="AZ74" s="20"/>
      <c r="BA74" s="20"/>
      <c r="BB74" s="20"/>
      <c r="BC74" s="20"/>
      <c r="BD74" s="20"/>
    </row>
    <row r="75" spans="1:56">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c r="AG75" s="20"/>
      <c r="AH75" s="20"/>
      <c r="AI75" s="20"/>
      <c r="AJ75" s="20"/>
      <c r="AK75" s="20"/>
      <c r="AL75" s="20"/>
      <c r="AM75" s="20"/>
      <c r="AN75" s="20"/>
      <c r="AO75" s="20"/>
      <c r="AP75" s="20"/>
      <c r="AQ75" s="20"/>
      <c r="AR75" s="20"/>
      <c r="AS75" s="20"/>
      <c r="AT75" s="20"/>
      <c r="AU75" s="20"/>
      <c r="AV75" s="20"/>
      <c r="AW75" s="20"/>
      <c r="AX75" s="20"/>
      <c r="AY75" s="20"/>
      <c r="AZ75" s="20"/>
      <c r="BA75" s="20"/>
      <c r="BB75" s="20"/>
      <c r="BC75" s="20"/>
      <c r="BD75" s="20"/>
    </row>
    <row r="76" spans="1:56">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c r="AF76" s="20"/>
      <c r="AG76" s="20"/>
      <c r="AH76" s="20"/>
      <c r="AI76" s="20"/>
      <c r="AJ76" s="20"/>
      <c r="AK76" s="20"/>
      <c r="AL76" s="20"/>
      <c r="AM76" s="20"/>
      <c r="AN76" s="20"/>
      <c r="AO76" s="20"/>
      <c r="AP76" s="20"/>
      <c r="AQ76" s="20"/>
      <c r="AR76" s="20"/>
      <c r="AS76" s="20"/>
      <c r="AT76" s="20"/>
      <c r="AU76" s="20"/>
      <c r="AV76" s="20"/>
      <c r="AW76" s="20"/>
      <c r="AX76" s="20"/>
      <c r="AY76" s="20"/>
      <c r="AZ76" s="20"/>
      <c r="BA76" s="20"/>
      <c r="BB76" s="20"/>
      <c r="BC76" s="20"/>
      <c r="BD76" s="20"/>
    </row>
    <row r="77" spans="1:56">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c r="AF77" s="20"/>
      <c r="AG77" s="20"/>
      <c r="AH77" s="20"/>
      <c r="AI77" s="20"/>
      <c r="AJ77" s="20"/>
      <c r="AK77" s="20"/>
      <c r="AL77" s="20"/>
      <c r="AM77" s="20"/>
      <c r="AN77" s="20"/>
      <c r="AO77" s="20"/>
      <c r="AP77" s="20"/>
      <c r="AQ77" s="20"/>
      <c r="AR77" s="20"/>
      <c r="AS77" s="20"/>
      <c r="AT77" s="20"/>
      <c r="AU77" s="20"/>
      <c r="AV77" s="20"/>
      <c r="AW77" s="20"/>
      <c r="AX77" s="20"/>
      <c r="AY77" s="20"/>
      <c r="AZ77" s="20"/>
      <c r="BA77" s="20"/>
      <c r="BB77" s="20"/>
      <c r="BC77" s="20"/>
      <c r="BD77" s="20"/>
    </row>
    <row r="78" spans="1:56">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c r="AF78" s="20"/>
      <c r="AG78" s="20"/>
      <c r="AH78" s="20"/>
      <c r="AI78" s="20"/>
      <c r="AJ78" s="20"/>
      <c r="AK78" s="20"/>
      <c r="AL78" s="20"/>
      <c r="AM78" s="20"/>
      <c r="AN78" s="20"/>
      <c r="AO78" s="20"/>
      <c r="AP78" s="20"/>
      <c r="AQ78" s="20"/>
      <c r="AR78" s="20"/>
      <c r="AS78" s="20"/>
      <c r="AT78" s="20"/>
      <c r="AU78" s="20"/>
      <c r="AV78" s="20"/>
      <c r="AW78" s="20"/>
      <c r="AX78" s="20"/>
      <c r="AY78" s="20"/>
      <c r="AZ78" s="20"/>
      <c r="BA78" s="20"/>
      <c r="BB78" s="20"/>
      <c r="BC78" s="20"/>
      <c r="BD78" s="20"/>
    </row>
    <row r="79" spans="1:56">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c r="AF79" s="20"/>
      <c r="AG79" s="20"/>
      <c r="AH79" s="20"/>
      <c r="AI79" s="20"/>
      <c r="AJ79" s="20"/>
      <c r="AK79" s="20"/>
      <c r="AL79" s="20"/>
      <c r="AM79" s="20"/>
      <c r="AN79" s="20"/>
      <c r="AO79" s="20"/>
      <c r="AP79" s="20"/>
      <c r="AQ79" s="20"/>
      <c r="AR79" s="20"/>
      <c r="AS79" s="20"/>
      <c r="AT79" s="20"/>
      <c r="AU79" s="20"/>
      <c r="AV79" s="20"/>
      <c r="AW79" s="20"/>
      <c r="AX79" s="20"/>
      <c r="AY79" s="20"/>
      <c r="AZ79" s="20"/>
      <c r="BA79" s="20"/>
      <c r="BB79" s="20"/>
      <c r="BC79" s="20"/>
      <c r="BD79" s="20"/>
    </row>
    <row r="80" spans="1:56">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c r="AF80" s="20"/>
      <c r="AG80" s="20"/>
      <c r="AH80" s="20"/>
      <c r="AI80" s="20"/>
      <c r="AJ80" s="20"/>
      <c r="AK80" s="20"/>
      <c r="AL80" s="20"/>
      <c r="AM80" s="20"/>
      <c r="AN80" s="20"/>
      <c r="AO80" s="20"/>
      <c r="AP80" s="20"/>
      <c r="AQ80" s="20"/>
      <c r="AR80" s="20"/>
      <c r="AS80" s="20"/>
      <c r="AT80" s="20"/>
      <c r="AU80" s="20"/>
      <c r="AV80" s="20"/>
      <c r="AW80" s="20"/>
      <c r="AX80" s="20"/>
      <c r="AY80" s="20"/>
      <c r="AZ80" s="20"/>
      <c r="BA80" s="20"/>
      <c r="BB80" s="20"/>
      <c r="BC80" s="20"/>
      <c r="BD80" s="20"/>
    </row>
    <row r="81" spans="1:56">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c r="AF81" s="20"/>
      <c r="AG81" s="20"/>
      <c r="AH81" s="20"/>
      <c r="AI81" s="20"/>
      <c r="AJ81" s="20"/>
      <c r="AK81" s="20"/>
      <c r="AL81" s="20"/>
      <c r="AM81" s="20"/>
      <c r="AN81" s="20"/>
      <c r="AO81" s="20"/>
      <c r="AP81" s="20"/>
      <c r="AQ81" s="20"/>
      <c r="AR81" s="20"/>
      <c r="AS81" s="20"/>
      <c r="AT81" s="20"/>
      <c r="AU81" s="20"/>
      <c r="AV81" s="20"/>
      <c r="AW81" s="20"/>
      <c r="AX81" s="20"/>
      <c r="AY81" s="20"/>
      <c r="AZ81" s="20"/>
      <c r="BA81" s="20"/>
      <c r="BB81" s="20"/>
      <c r="BC81" s="20"/>
      <c r="BD81" s="20"/>
    </row>
    <row r="82" spans="1:56">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c r="AF82" s="20"/>
      <c r="AG82" s="20"/>
      <c r="AH82" s="20"/>
      <c r="AI82" s="20"/>
      <c r="AJ82" s="20"/>
      <c r="AK82" s="20"/>
      <c r="AL82" s="20"/>
      <c r="AM82" s="20"/>
      <c r="AN82" s="20"/>
      <c r="AO82" s="20"/>
      <c r="AP82" s="20"/>
      <c r="AQ82" s="20"/>
      <c r="AR82" s="20"/>
      <c r="AS82" s="20"/>
      <c r="AT82" s="20"/>
      <c r="AU82" s="20"/>
      <c r="AV82" s="20"/>
      <c r="AW82" s="20"/>
      <c r="AX82" s="20"/>
      <c r="AY82" s="20"/>
      <c r="AZ82" s="20"/>
      <c r="BA82" s="20"/>
      <c r="BB82" s="20"/>
      <c r="BC82" s="20"/>
      <c r="BD82" s="20"/>
    </row>
    <row r="83" spans="1:56">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c r="AF83" s="20"/>
      <c r="AG83" s="20"/>
      <c r="AH83" s="20"/>
      <c r="AI83" s="20"/>
      <c r="AJ83" s="20"/>
      <c r="AK83" s="20"/>
      <c r="AL83" s="20"/>
      <c r="AM83" s="20"/>
      <c r="AN83" s="20"/>
      <c r="AO83" s="20"/>
      <c r="AP83" s="20"/>
      <c r="AQ83" s="20"/>
      <c r="AR83" s="20"/>
      <c r="AS83" s="20"/>
      <c r="AT83" s="20"/>
      <c r="AU83" s="20"/>
      <c r="AV83" s="20"/>
      <c r="AW83" s="20"/>
      <c r="AX83" s="20"/>
      <c r="AY83" s="20"/>
      <c r="AZ83" s="20"/>
      <c r="BA83" s="20"/>
      <c r="BB83" s="20"/>
      <c r="BC83" s="20"/>
      <c r="BD83" s="20"/>
    </row>
    <row r="84" spans="1:56">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c r="AF84" s="20"/>
      <c r="AG84" s="20"/>
      <c r="AH84" s="20"/>
      <c r="AI84" s="20"/>
      <c r="AJ84" s="20"/>
      <c r="AK84" s="20"/>
      <c r="AL84" s="20"/>
      <c r="AM84" s="20"/>
      <c r="AN84" s="20"/>
      <c r="AO84" s="20"/>
      <c r="AP84" s="20"/>
      <c r="AQ84" s="20"/>
      <c r="AR84" s="20"/>
      <c r="AS84" s="20"/>
      <c r="AT84" s="20"/>
      <c r="AU84" s="20"/>
      <c r="AV84" s="20"/>
      <c r="AW84" s="20"/>
      <c r="AX84" s="20"/>
      <c r="AY84" s="20"/>
      <c r="AZ84" s="20"/>
      <c r="BA84" s="20"/>
      <c r="BB84" s="20"/>
      <c r="BC84" s="20"/>
      <c r="BD84" s="20"/>
    </row>
    <row r="85" spans="1:56">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c r="AF85" s="20"/>
      <c r="AG85" s="20"/>
      <c r="AH85" s="20"/>
      <c r="AI85" s="20"/>
      <c r="AJ85" s="20"/>
      <c r="AK85" s="20"/>
      <c r="AL85" s="20"/>
      <c r="AM85" s="20"/>
      <c r="AN85" s="20"/>
      <c r="AO85" s="20"/>
      <c r="AP85" s="20"/>
      <c r="AQ85" s="20"/>
      <c r="AR85" s="20"/>
      <c r="AS85" s="20"/>
      <c r="AT85" s="20"/>
      <c r="AU85" s="20"/>
      <c r="AV85" s="20"/>
      <c r="AW85" s="20"/>
      <c r="AX85" s="20"/>
      <c r="AY85" s="20"/>
      <c r="AZ85" s="20"/>
      <c r="BA85" s="20"/>
      <c r="BB85" s="20"/>
      <c r="BC85" s="20"/>
      <c r="BD85" s="20"/>
    </row>
    <row r="86" spans="1:56">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c r="AF86" s="20"/>
      <c r="AG86" s="20"/>
      <c r="AH86" s="20"/>
      <c r="AI86" s="20"/>
      <c r="AJ86" s="20"/>
      <c r="AK86" s="20"/>
      <c r="AL86" s="20"/>
      <c r="AM86" s="20"/>
      <c r="AN86" s="20"/>
      <c r="AO86" s="20"/>
      <c r="AP86" s="20"/>
      <c r="AQ86" s="20"/>
      <c r="AR86" s="20"/>
      <c r="AS86" s="20"/>
      <c r="AT86" s="20"/>
      <c r="AU86" s="20"/>
      <c r="AV86" s="20"/>
      <c r="AW86" s="20"/>
      <c r="AX86" s="20"/>
      <c r="AY86" s="20"/>
      <c r="AZ86" s="20"/>
      <c r="BA86" s="20"/>
      <c r="BB86" s="20"/>
      <c r="BC86" s="20"/>
      <c r="BD86" s="20"/>
    </row>
    <row r="87" spans="1:56">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c r="AE87" s="20"/>
      <c r="AF87" s="20"/>
      <c r="AG87" s="20"/>
      <c r="AH87" s="20"/>
      <c r="AI87" s="20"/>
      <c r="AJ87" s="20"/>
      <c r="AK87" s="20"/>
      <c r="AL87" s="20"/>
      <c r="AM87" s="20"/>
      <c r="AN87" s="20"/>
      <c r="AO87" s="20"/>
      <c r="AP87" s="20"/>
      <c r="AQ87" s="20"/>
      <c r="AR87" s="20"/>
      <c r="AS87" s="20"/>
      <c r="AT87" s="20"/>
      <c r="AU87" s="20"/>
      <c r="AV87" s="20"/>
      <c r="AW87" s="20"/>
      <c r="AX87" s="20"/>
      <c r="AY87" s="20"/>
      <c r="AZ87" s="20"/>
      <c r="BA87" s="20"/>
      <c r="BB87" s="20"/>
      <c r="BC87" s="20"/>
      <c r="BD87" s="20"/>
    </row>
    <row r="88" spans="1:56">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c r="AF88" s="20"/>
      <c r="AG88" s="20"/>
      <c r="AH88" s="20"/>
      <c r="AI88" s="20"/>
      <c r="AJ88" s="20"/>
      <c r="AK88" s="20"/>
      <c r="AL88" s="20"/>
      <c r="AM88" s="20"/>
      <c r="AN88" s="20"/>
      <c r="AO88" s="20"/>
      <c r="AP88" s="20"/>
      <c r="AQ88" s="20"/>
      <c r="AR88" s="20"/>
      <c r="AS88" s="20"/>
      <c r="AT88" s="20"/>
      <c r="AU88" s="20"/>
      <c r="AV88" s="20"/>
      <c r="AW88" s="20"/>
      <c r="AX88" s="20"/>
      <c r="AY88" s="20"/>
      <c r="AZ88" s="20"/>
      <c r="BA88" s="20"/>
      <c r="BB88" s="20"/>
      <c r="BC88" s="20"/>
      <c r="BD88" s="20"/>
    </row>
    <row r="89" spans="1:56">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c r="AF89" s="20"/>
      <c r="AG89" s="20"/>
      <c r="AH89" s="20"/>
      <c r="AI89" s="20"/>
      <c r="AJ89" s="20"/>
      <c r="AK89" s="20"/>
      <c r="AL89" s="20"/>
      <c r="AM89" s="20"/>
      <c r="AN89" s="20"/>
      <c r="AO89" s="20"/>
      <c r="AP89" s="20"/>
      <c r="AQ89" s="20"/>
      <c r="AR89" s="20"/>
      <c r="AS89" s="20"/>
      <c r="AT89" s="20"/>
      <c r="AU89" s="20"/>
      <c r="AV89" s="20"/>
      <c r="AW89" s="20"/>
      <c r="AX89" s="20"/>
      <c r="AY89" s="20"/>
      <c r="AZ89" s="20"/>
      <c r="BA89" s="20"/>
      <c r="BB89" s="20"/>
      <c r="BC89" s="20"/>
      <c r="BD89" s="20"/>
    </row>
    <row r="90" spans="1:56">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c r="AF90" s="20"/>
      <c r="AG90" s="20"/>
      <c r="AH90" s="20"/>
      <c r="AI90" s="20"/>
      <c r="AJ90" s="20"/>
      <c r="AK90" s="20"/>
      <c r="AL90" s="20"/>
      <c r="AM90" s="20"/>
      <c r="AN90" s="20"/>
      <c r="AO90" s="20"/>
      <c r="AP90" s="20"/>
      <c r="AQ90" s="20"/>
      <c r="AR90" s="20"/>
      <c r="AS90" s="20"/>
      <c r="AT90" s="20"/>
      <c r="AU90" s="20"/>
      <c r="AV90" s="20"/>
      <c r="AW90" s="20"/>
      <c r="AX90" s="20"/>
      <c r="AY90" s="20"/>
      <c r="AZ90" s="20"/>
      <c r="BA90" s="20"/>
      <c r="BB90" s="20"/>
      <c r="BC90" s="20"/>
      <c r="BD90" s="20"/>
    </row>
    <row r="91" spans="1:56">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c r="AF91" s="20"/>
      <c r="AG91" s="20"/>
      <c r="AH91" s="20"/>
      <c r="AI91" s="20"/>
      <c r="AJ91" s="20"/>
      <c r="AK91" s="20"/>
      <c r="AL91" s="20"/>
      <c r="AM91" s="20"/>
      <c r="AN91" s="20"/>
      <c r="AO91" s="20"/>
      <c r="AP91" s="20"/>
      <c r="AQ91" s="20"/>
      <c r="AR91" s="20"/>
      <c r="AS91" s="20"/>
      <c r="AT91" s="20"/>
      <c r="AU91" s="20"/>
      <c r="AV91" s="20"/>
      <c r="AW91" s="20"/>
      <c r="AX91" s="20"/>
      <c r="AY91" s="20"/>
      <c r="AZ91" s="20"/>
      <c r="BA91" s="20"/>
      <c r="BB91" s="20"/>
      <c r="BC91" s="20"/>
      <c r="BD91" s="20"/>
    </row>
    <row r="92" spans="1:56">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c r="AF92" s="20"/>
      <c r="AG92" s="20"/>
      <c r="AH92" s="20"/>
      <c r="AI92" s="20"/>
      <c r="AJ92" s="20"/>
      <c r="AK92" s="20"/>
      <c r="AL92" s="20"/>
      <c r="AM92" s="20"/>
      <c r="AN92" s="20"/>
      <c r="AO92" s="20"/>
      <c r="AP92" s="20"/>
      <c r="AQ92" s="20"/>
      <c r="AR92" s="20"/>
      <c r="AS92" s="20"/>
      <c r="AT92" s="20"/>
      <c r="AU92" s="20"/>
      <c r="AV92" s="20"/>
      <c r="AW92" s="20"/>
      <c r="AX92" s="20"/>
      <c r="AY92" s="20"/>
      <c r="AZ92" s="20"/>
      <c r="BA92" s="20"/>
      <c r="BB92" s="20"/>
      <c r="BC92" s="20"/>
      <c r="BD92" s="20"/>
    </row>
    <row r="93" spans="1:56">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c r="AF93" s="20"/>
      <c r="AG93" s="20"/>
      <c r="AH93" s="20"/>
      <c r="AI93" s="20"/>
      <c r="AJ93" s="20"/>
      <c r="AK93" s="20"/>
      <c r="AL93" s="20"/>
      <c r="AM93" s="20"/>
      <c r="AN93" s="20"/>
      <c r="AO93" s="20"/>
      <c r="AP93" s="20"/>
      <c r="AQ93" s="20"/>
      <c r="AR93" s="20"/>
      <c r="AS93" s="20"/>
      <c r="AT93" s="20"/>
      <c r="AU93" s="20"/>
      <c r="AV93" s="20"/>
      <c r="AW93" s="20"/>
      <c r="AX93" s="20"/>
      <c r="AY93" s="20"/>
      <c r="AZ93" s="20"/>
      <c r="BA93" s="20"/>
      <c r="BB93" s="20"/>
      <c r="BC93" s="20"/>
      <c r="BD93" s="20"/>
    </row>
    <row r="94" spans="1:56">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c r="AF94" s="20"/>
      <c r="AG94" s="20"/>
      <c r="AH94" s="20"/>
      <c r="AI94" s="20"/>
      <c r="AJ94" s="20"/>
      <c r="AK94" s="20"/>
      <c r="AL94" s="20"/>
      <c r="AM94" s="20"/>
      <c r="AN94" s="20"/>
      <c r="AO94" s="20"/>
      <c r="AP94" s="20"/>
      <c r="AQ94" s="20"/>
      <c r="AR94" s="20"/>
      <c r="AS94" s="20"/>
      <c r="AT94" s="20"/>
      <c r="AU94" s="20"/>
      <c r="AV94" s="20"/>
      <c r="AW94" s="20"/>
      <c r="AX94" s="20"/>
      <c r="AY94" s="20"/>
      <c r="AZ94" s="20"/>
      <c r="BA94" s="20"/>
      <c r="BB94" s="20"/>
      <c r="BC94" s="20"/>
      <c r="BD94" s="20"/>
    </row>
    <row r="95" spans="1:56">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c r="AF95" s="20"/>
      <c r="AG95" s="20"/>
      <c r="AH95" s="20"/>
      <c r="AI95" s="20"/>
      <c r="AJ95" s="20"/>
      <c r="AK95" s="20"/>
      <c r="AL95" s="20"/>
      <c r="AM95" s="20"/>
      <c r="AN95" s="20"/>
      <c r="AO95" s="20"/>
      <c r="AP95" s="20"/>
      <c r="AQ95" s="20"/>
      <c r="AR95" s="20"/>
      <c r="AS95" s="20"/>
      <c r="AT95" s="20"/>
      <c r="AU95" s="20"/>
      <c r="AV95" s="20"/>
      <c r="AW95" s="20"/>
      <c r="AX95" s="20"/>
      <c r="AY95" s="20"/>
      <c r="AZ95" s="20"/>
      <c r="BA95" s="20"/>
      <c r="BB95" s="20"/>
      <c r="BC95" s="20"/>
      <c r="BD95" s="20"/>
    </row>
    <row r="96" spans="1:56">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c r="AF96" s="20"/>
      <c r="AG96" s="20"/>
      <c r="AH96" s="20"/>
      <c r="AI96" s="20"/>
      <c r="AJ96" s="20"/>
      <c r="AK96" s="20"/>
      <c r="AL96" s="20"/>
      <c r="AM96" s="20"/>
      <c r="AN96" s="20"/>
      <c r="AO96" s="20"/>
      <c r="AP96" s="20"/>
      <c r="AQ96" s="20"/>
      <c r="AR96" s="20"/>
      <c r="AS96" s="20"/>
      <c r="AT96" s="20"/>
      <c r="AU96" s="20"/>
      <c r="AV96" s="20"/>
      <c r="AW96" s="20"/>
      <c r="AX96" s="20"/>
      <c r="AY96" s="20"/>
      <c r="AZ96" s="20"/>
      <c r="BA96" s="20"/>
      <c r="BB96" s="20"/>
      <c r="BC96" s="20"/>
      <c r="BD96" s="20"/>
    </row>
    <row r="97" spans="1:56">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c r="AF97" s="20"/>
      <c r="AG97" s="20"/>
      <c r="AH97" s="20"/>
      <c r="AI97" s="20"/>
      <c r="AJ97" s="20"/>
      <c r="AK97" s="20"/>
      <c r="AL97" s="20"/>
      <c r="AM97" s="20"/>
      <c r="AN97" s="20"/>
      <c r="AO97" s="20"/>
      <c r="AP97" s="20"/>
      <c r="AQ97" s="20"/>
      <c r="AR97" s="20"/>
      <c r="AS97" s="20"/>
      <c r="AT97" s="20"/>
      <c r="AU97" s="20"/>
      <c r="AV97" s="20"/>
      <c r="AW97" s="20"/>
      <c r="AX97" s="20"/>
      <c r="AY97" s="20"/>
      <c r="AZ97" s="20"/>
      <c r="BA97" s="20"/>
      <c r="BB97" s="20"/>
      <c r="BC97" s="20"/>
      <c r="BD97" s="20"/>
    </row>
    <row r="98" spans="1:56">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c r="AF98" s="20"/>
      <c r="AG98" s="20"/>
      <c r="AH98" s="20"/>
      <c r="AI98" s="20"/>
      <c r="AJ98" s="20"/>
      <c r="AK98" s="20"/>
      <c r="AL98" s="20"/>
      <c r="AM98" s="20"/>
      <c r="AN98" s="20"/>
      <c r="AO98" s="20"/>
      <c r="AP98" s="20"/>
      <c r="AQ98" s="20"/>
      <c r="AR98" s="20"/>
      <c r="AS98" s="20"/>
      <c r="AT98" s="20"/>
      <c r="AU98" s="20"/>
      <c r="AV98" s="20"/>
      <c r="AW98" s="20"/>
      <c r="AX98" s="20"/>
      <c r="AY98" s="20"/>
      <c r="AZ98" s="20"/>
      <c r="BA98" s="20"/>
      <c r="BB98" s="20"/>
      <c r="BC98" s="20"/>
      <c r="BD98" s="20"/>
    </row>
    <row r="99" spans="1:56">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c r="AF99" s="20"/>
      <c r="AG99" s="20"/>
      <c r="AH99" s="20"/>
      <c r="AI99" s="20"/>
      <c r="AJ99" s="20"/>
      <c r="AK99" s="20"/>
      <c r="AL99" s="20"/>
      <c r="AM99" s="20"/>
      <c r="AN99" s="20"/>
      <c r="AO99" s="20"/>
      <c r="AP99" s="20"/>
      <c r="AQ99" s="20"/>
      <c r="AR99" s="20"/>
      <c r="AS99" s="20"/>
      <c r="AT99" s="20"/>
      <c r="AU99" s="20"/>
      <c r="AV99" s="20"/>
      <c r="AW99" s="20"/>
      <c r="AX99" s="20"/>
      <c r="AY99" s="20"/>
      <c r="AZ99" s="20"/>
      <c r="BA99" s="20"/>
      <c r="BB99" s="20"/>
      <c r="BC99" s="20"/>
      <c r="BD99" s="20"/>
    </row>
    <row r="100" spans="1:56">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c r="AF100" s="20"/>
      <c r="AG100" s="20"/>
      <c r="AH100" s="20"/>
      <c r="AI100" s="20"/>
      <c r="AJ100" s="20"/>
      <c r="AK100" s="20"/>
      <c r="AL100" s="20"/>
      <c r="AM100" s="20"/>
      <c r="AN100" s="20"/>
      <c r="AO100" s="20"/>
      <c r="AP100" s="20"/>
      <c r="AQ100" s="20"/>
      <c r="AR100" s="20"/>
      <c r="AS100" s="20"/>
      <c r="AT100" s="20"/>
      <c r="AU100" s="20"/>
      <c r="AV100" s="20"/>
      <c r="AW100" s="20"/>
      <c r="AX100" s="20"/>
      <c r="AY100" s="20"/>
      <c r="AZ100" s="20"/>
      <c r="BA100" s="20"/>
      <c r="BB100" s="20"/>
      <c r="BC100" s="20"/>
      <c r="BD100" s="20"/>
    </row>
    <row r="101" spans="1:56">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c r="AE101" s="20"/>
      <c r="AF101" s="20"/>
      <c r="AG101" s="20"/>
      <c r="AH101" s="20"/>
      <c r="AI101" s="20"/>
      <c r="AJ101" s="20"/>
      <c r="AK101" s="20"/>
      <c r="AL101" s="20"/>
      <c r="AM101" s="20"/>
      <c r="AN101" s="20"/>
      <c r="AO101" s="20"/>
      <c r="AP101" s="20"/>
      <c r="AQ101" s="20"/>
      <c r="AR101" s="20"/>
      <c r="AS101" s="20"/>
      <c r="AT101" s="20"/>
      <c r="AU101" s="20"/>
      <c r="AV101" s="20"/>
      <c r="AW101" s="20"/>
      <c r="AX101" s="20"/>
      <c r="AY101" s="20"/>
      <c r="AZ101" s="20"/>
      <c r="BA101" s="20"/>
      <c r="BB101" s="20"/>
      <c r="BC101" s="20"/>
      <c r="BD101" s="20"/>
    </row>
    <row r="102" spans="1:56">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c r="AE102" s="20"/>
      <c r="AF102" s="20"/>
      <c r="AG102" s="20"/>
      <c r="AH102" s="20"/>
      <c r="AI102" s="20"/>
      <c r="AJ102" s="20"/>
      <c r="AK102" s="20"/>
      <c r="AL102" s="20"/>
      <c r="AM102" s="20"/>
      <c r="AN102" s="20"/>
      <c r="AO102" s="20"/>
      <c r="AP102" s="20"/>
      <c r="AQ102" s="20"/>
      <c r="AR102" s="20"/>
      <c r="AS102" s="20"/>
      <c r="AT102" s="20"/>
      <c r="AU102" s="20"/>
      <c r="AV102" s="20"/>
      <c r="AW102" s="20"/>
      <c r="AX102" s="20"/>
      <c r="AY102" s="20"/>
      <c r="AZ102" s="20"/>
      <c r="BA102" s="20"/>
      <c r="BB102" s="20"/>
      <c r="BC102" s="20"/>
      <c r="BD102" s="20"/>
    </row>
    <row r="103" spans="1:56">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c r="AF103" s="20"/>
      <c r="AG103" s="20"/>
      <c r="AH103" s="20"/>
      <c r="AI103" s="20"/>
      <c r="AJ103" s="20"/>
      <c r="AK103" s="20"/>
      <c r="AL103" s="20"/>
      <c r="AM103" s="20"/>
      <c r="AN103" s="20"/>
      <c r="AO103" s="20"/>
      <c r="AP103" s="20"/>
      <c r="AQ103" s="20"/>
      <c r="AR103" s="20"/>
      <c r="AS103" s="20"/>
      <c r="AT103" s="20"/>
      <c r="AU103" s="20"/>
      <c r="AV103" s="20"/>
      <c r="AW103" s="20"/>
      <c r="AX103" s="20"/>
      <c r="AY103" s="20"/>
      <c r="AZ103" s="20"/>
      <c r="BA103" s="20"/>
      <c r="BB103" s="20"/>
      <c r="BC103" s="20"/>
      <c r="BD103" s="20"/>
    </row>
    <row r="104" spans="1:56">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c r="AF104" s="20"/>
      <c r="AG104" s="20"/>
      <c r="AH104" s="20"/>
      <c r="AI104" s="20"/>
      <c r="AJ104" s="20"/>
      <c r="AK104" s="20"/>
      <c r="AL104" s="20"/>
      <c r="AM104" s="20"/>
      <c r="AN104" s="20"/>
      <c r="AO104" s="20"/>
      <c r="AP104" s="20"/>
      <c r="AQ104" s="20"/>
      <c r="AR104" s="20"/>
      <c r="AS104" s="20"/>
      <c r="AT104" s="20"/>
      <c r="AU104" s="20"/>
      <c r="AV104" s="20"/>
      <c r="AW104" s="20"/>
      <c r="AX104" s="20"/>
      <c r="AY104" s="20"/>
      <c r="AZ104" s="20"/>
      <c r="BA104" s="20"/>
      <c r="BB104" s="20"/>
      <c r="BC104" s="20"/>
      <c r="BD104" s="20"/>
    </row>
    <row r="105" spans="1:56">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c r="AF105" s="20"/>
      <c r="AG105" s="20"/>
      <c r="AH105" s="20"/>
      <c r="AI105" s="20"/>
      <c r="AJ105" s="20"/>
      <c r="AK105" s="20"/>
      <c r="AL105" s="20"/>
      <c r="AM105" s="20"/>
      <c r="AN105" s="20"/>
      <c r="AO105" s="20"/>
      <c r="AP105" s="20"/>
      <c r="AQ105" s="20"/>
      <c r="AR105" s="20"/>
      <c r="AS105" s="20"/>
      <c r="AT105" s="20"/>
      <c r="AU105" s="20"/>
      <c r="AV105" s="20"/>
      <c r="AW105" s="20"/>
      <c r="AX105" s="20"/>
      <c r="AY105" s="20"/>
      <c r="AZ105" s="20"/>
      <c r="BA105" s="20"/>
      <c r="BB105" s="20"/>
      <c r="BC105" s="20"/>
      <c r="BD105" s="20"/>
    </row>
    <row r="106" spans="1:56">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c r="AM106" s="20"/>
      <c r="AN106" s="20"/>
      <c r="AO106" s="20"/>
      <c r="AP106" s="20"/>
      <c r="AQ106" s="20"/>
      <c r="AR106" s="20"/>
      <c r="AS106" s="20"/>
      <c r="AT106" s="20"/>
      <c r="AU106" s="20"/>
      <c r="AV106" s="20"/>
      <c r="AW106" s="20"/>
      <c r="AX106" s="20"/>
      <c r="AY106" s="20"/>
      <c r="AZ106" s="20"/>
      <c r="BA106" s="20"/>
      <c r="BB106" s="20"/>
      <c r="BC106" s="20"/>
      <c r="BD106" s="20"/>
    </row>
    <row r="107" spans="1:56">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c r="AE107" s="20"/>
      <c r="AF107" s="20"/>
      <c r="AG107" s="20"/>
      <c r="AH107" s="20"/>
      <c r="AI107" s="20"/>
      <c r="AJ107" s="20"/>
      <c r="AK107" s="20"/>
      <c r="AL107" s="20"/>
      <c r="AM107" s="20"/>
      <c r="AN107" s="20"/>
      <c r="AO107" s="20"/>
      <c r="AP107" s="20"/>
      <c r="AQ107" s="20"/>
      <c r="AR107" s="20"/>
      <c r="AS107" s="20"/>
      <c r="AT107" s="20"/>
      <c r="AU107" s="20"/>
      <c r="AV107" s="20"/>
      <c r="AW107" s="20"/>
      <c r="AX107" s="20"/>
      <c r="AY107" s="20"/>
      <c r="AZ107" s="20"/>
      <c r="BA107" s="20"/>
      <c r="BB107" s="20"/>
      <c r="BC107" s="20"/>
      <c r="BD107" s="20"/>
    </row>
    <row r="108" spans="1:56">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c r="AF108" s="20"/>
      <c r="AG108" s="20"/>
      <c r="AH108" s="20"/>
      <c r="AI108" s="20"/>
      <c r="AJ108" s="20"/>
      <c r="AK108" s="20"/>
      <c r="AL108" s="20"/>
      <c r="AM108" s="20"/>
      <c r="AN108" s="20"/>
      <c r="AO108" s="20"/>
      <c r="AP108" s="20"/>
      <c r="AQ108" s="20"/>
      <c r="AR108" s="20"/>
      <c r="AS108" s="20"/>
      <c r="AT108" s="20"/>
      <c r="AU108" s="20"/>
      <c r="AV108" s="20"/>
      <c r="AW108" s="20"/>
      <c r="AX108" s="20"/>
      <c r="AY108" s="20"/>
      <c r="AZ108" s="20"/>
      <c r="BA108" s="20"/>
      <c r="BB108" s="20"/>
      <c r="BC108" s="20"/>
      <c r="BD108" s="20"/>
    </row>
    <row r="109" spans="1:56">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c r="AF109" s="20"/>
      <c r="AG109" s="20"/>
      <c r="AH109" s="20"/>
      <c r="AI109" s="20"/>
      <c r="AJ109" s="20"/>
      <c r="AK109" s="20"/>
      <c r="AL109" s="20"/>
      <c r="AM109" s="20"/>
      <c r="AN109" s="20"/>
      <c r="AO109" s="20"/>
      <c r="AP109" s="20"/>
      <c r="AQ109" s="20"/>
      <c r="AR109" s="20"/>
      <c r="AS109" s="20"/>
      <c r="AT109" s="20"/>
      <c r="AU109" s="20"/>
      <c r="AV109" s="20"/>
      <c r="AW109" s="20"/>
      <c r="AX109" s="20"/>
      <c r="AY109" s="20"/>
      <c r="AZ109" s="20"/>
      <c r="BA109" s="20"/>
      <c r="BB109" s="20"/>
      <c r="BC109" s="20"/>
      <c r="BD109" s="20"/>
    </row>
    <row r="110" spans="1:56">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c r="AF110" s="20"/>
      <c r="AG110" s="20"/>
      <c r="AH110" s="20"/>
      <c r="AI110" s="20"/>
      <c r="AJ110" s="20"/>
      <c r="AK110" s="20"/>
      <c r="AL110" s="20"/>
      <c r="AM110" s="20"/>
      <c r="AN110" s="20"/>
      <c r="AO110" s="20"/>
      <c r="AP110" s="20"/>
      <c r="AQ110" s="20"/>
      <c r="AR110" s="20"/>
      <c r="AS110" s="20"/>
      <c r="AT110" s="20"/>
      <c r="AU110" s="20"/>
      <c r="AV110" s="20"/>
      <c r="AW110" s="20"/>
      <c r="AX110" s="20"/>
      <c r="AY110" s="20"/>
      <c r="AZ110" s="20"/>
      <c r="BA110" s="20"/>
      <c r="BB110" s="20"/>
      <c r="BC110" s="20"/>
      <c r="BD110" s="20"/>
    </row>
    <row r="111" spans="1:56">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c r="AE111" s="20"/>
      <c r="AF111" s="20"/>
      <c r="AG111" s="20"/>
      <c r="AH111" s="20"/>
      <c r="AI111" s="20"/>
      <c r="AJ111" s="20"/>
      <c r="AK111" s="20"/>
      <c r="AL111" s="20"/>
      <c r="AM111" s="20"/>
      <c r="AN111" s="20"/>
      <c r="AO111" s="20"/>
      <c r="AP111" s="20"/>
      <c r="AQ111" s="20"/>
      <c r="AR111" s="20"/>
      <c r="AS111" s="20"/>
      <c r="AT111" s="20"/>
      <c r="AU111" s="20"/>
      <c r="AV111" s="20"/>
      <c r="AW111" s="20"/>
      <c r="AX111" s="20"/>
      <c r="AY111" s="20"/>
      <c r="AZ111" s="20"/>
      <c r="BA111" s="20"/>
      <c r="BB111" s="20"/>
      <c r="BC111" s="20"/>
      <c r="BD111" s="20"/>
    </row>
    <row r="112" spans="1:56">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c r="AE112" s="20"/>
      <c r="AF112" s="20"/>
      <c r="AG112" s="20"/>
      <c r="AH112" s="20"/>
      <c r="AI112" s="20"/>
      <c r="AJ112" s="20"/>
      <c r="AK112" s="20"/>
      <c r="AL112" s="20"/>
      <c r="AM112" s="20"/>
      <c r="AN112" s="20"/>
      <c r="AO112" s="20"/>
      <c r="AP112" s="20"/>
      <c r="AQ112" s="20"/>
      <c r="AR112" s="20"/>
      <c r="AS112" s="20"/>
      <c r="AT112" s="20"/>
      <c r="AU112" s="20"/>
      <c r="AV112" s="20"/>
      <c r="AW112" s="20"/>
      <c r="AX112" s="20"/>
      <c r="AY112" s="20"/>
      <c r="AZ112" s="20"/>
      <c r="BA112" s="20"/>
      <c r="BB112" s="20"/>
      <c r="BC112" s="20"/>
      <c r="BD112" s="20"/>
    </row>
    <row r="113" spans="1:56">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c r="AE113" s="20"/>
      <c r="AF113" s="20"/>
      <c r="AG113" s="20"/>
      <c r="AH113" s="20"/>
      <c r="AI113" s="20"/>
      <c r="AJ113" s="20"/>
      <c r="AK113" s="20"/>
      <c r="AL113" s="20"/>
      <c r="AM113" s="20"/>
      <c r="AN113" s="20"/>
      <c r="AO113" s="20"/>
      <c r="AP113" s="20"/>
      <c r="AQ113" s="20"/>
      <c r="AR113" s="20"/>
      <c r="AS113" s="20"/>
      <c r="AT113" s="20"/>
      <c r="AU113" s="20"/>
      <c r="AV113" s="20"/>
      <c r="AW113" s="20"/>
      <c r="AX113" s="20"/>
      <c r="AY113" s="20"/>
      <c r="AZ113" s="20"/>
      <c r="BA113" s="20"/>
      <c r="BB113" s="20"/>
      <c r="BC113" s="20"/>
      <c r="BD113" s="20"/>
    </row>
    <row r="114" spans="1:56">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c r="AF114" s="20"/>
      <c r="AG114" s="20"/>
      <c r="AH114" s="20"/>
      <c r="AI114" s="20"/>
      <c r="AJ114" s="20"/>
      <c r="AK114" s="20"/>
      <c r="AL114" s="20"/>
      <c r="AM114" s="20"/>
      <c r="AN114" s="20"/>
      <c r="AO114" s="20"/>
      <c r="AP114" s="20"/>
      <c r="AQ114" s="20"/>
      <c r="AR114" s="20"/>
      <c r="AS114" s="20"/>
      <c r="AT114" s="20"/>
      <c r="AU114" s="20"/>
      <c r="AV114" s="20"/>
      <c r="AW114" s="20"/>
      <c r="AX114" s="20"/>
      <c r="AY114" s="20"/>
      <c r="AZ114" s="20"/>
      <c r="BA114" s="20"/>
      <c r="BB114" s="20"/>
      <c r="BC114" s="20"/>
      <c r="BD114" s="20"/>
    </row>
    <row r="115" spans="1:56">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c r="AE115" s="20"/>
      <c r="AF115" s="20"/>
      <c r="AG115" s="20"/>
      <c r="AH115" s="20"/>
      <c r="AI115" s="20"/>
      <c r="AJ115" s="20"/>
      <c r="AK115" s="20"/>
      <c r="AL115" s="20"/>
      <c r="AM115" s="20"/>
      <c r="AN115" s="20"/>
      <c r="AO115" s="20"/>
      <c r="AP115" s="20"/>
      <c r="AQ115" s="20"/>
      <c r="AR115" s="20"/>
      <c r="AS115" s="20"/>
      <c r="AT115" s="20"/>
      <c r="AU115" s="20"/>
      <c r="AV115" s="20"/>
      <c r="AW115" s="20"/>
      <c r="AX115" s="20"/>
      <c r="AY115" s="20"/>
      <c r="AZ115" s="20"/>
      <c r="BA115" s="20"/>
      <c r="BB115" s="20"/>
      <c r="BC115" s="20"/>
      <c r="BD115" s="20"/>
    </row>
    <row r="116" spans="1:56">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c r="AF116" s="20"/>
      <c r="AG116" s="20"/>
      <c r="AH116" s="20"/>
      <c r="AI116" s="20"/>
      <c r="AJ116" s="20"/>
      <c r="AK116" s="20"/>
      <c r="AL116" s="20"/>
      <c r="AM116" s="20"/>
      <c r="AN116" s="20"/>
      <c r="AO116" s="20"/>
      <c r="AP116" s="20"/>
      <c r="AQ116" s="20"/>
      <c r="AR116" s="20"/>
      <c r="AS116" s="20"/>
      <c r="AT116" s="20"/>
      <c r="AU116" s="20"/>
      <c r="AV116" s="20"/>
      <c r="AW116" s="20"/>
      <c r="AX116" s="20"/>
      <c r="AY116" s="20"/>
      <c r="AZ116" s="20"/>
      <c r="BA116" s="20"/>
      <c r="BB116" s="20"/>
      <c r="BC116" s="20"/>
      <c r="BD116" s="20"/>
    </row>
    <row r="117" spans="1:56">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c r="AF117" s="20"/>
      <c r="AG117" s="20"/>
      <c r="AH117" s="20"/>
      <c r="AI117" s="20"/>
      <c r="AJ117" s="20"/>
      <c r="AK117" s="20"/>
      <c r="AL117" s="20"/>
      <c r="AM117" s="20"/>
      <c r="AN117" s="20"/>
      <c r="AO117" s="20"/>
      <c r="AP117" s="20"/>
      <c r="AQ117" s="20"/>
      <c r="AR117" s="20"/>
      <c r="AS117" s="20"/>
      <c r="AT117" s="20"/>
      <c r="AU117" s="20"/>
      <c r="AV117" s="20"/>
      <c r="AW117" s="20"/>
      <c r="AX117" s="20"/>
      <c r="AY117" s="20"/>
      <c r="AZ117" s="20"/>
      <c r="BA117" s="20"/>
      <c r="BB117" s="20"/>
      <c r="BC117" s="20"/>
      <c r="BD117" s="20"/>
    </row>
    <row r="118" spans="1:56">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c r="AF118" s="20"/>
      <c r="AG118" s="20"/>
      <c r="AH118" s="20"/>
      <c r="AI118" s="20"/>
      <c r="AJ118" s="20"/>
      <c r="AK118" s="20"/>
      <c r="AL118" s="20"/>
      <c r="AM118" s="20"/>
      <c r="AN118" s="20"/>
      <c r="AO118" s="20"/>
      <c r="AP118" s="20"/>
      <c r="AQ118" s="20"/>
      <c r="AR118" s="20"/>
      <c r="AS118" s="20"/>
      <c r="AT118" s="20"/>
      <c r="AU118" s="20"/>
      <c r="AV118" s="20"/>
      <c r="AW118" s="20"/>
      <c r="AX118" s="20"/>
      <c r="AY118" s="20"/>
      <c r="AZ118" s="20"/>
      <c r="BA118" s="20"/>
      <c r="BB118" s="20"/>
      <c r="BC118" s="20"/>
      <c r="BD118" s="20"/>
    </row>
    <row r="119" spans="1:56">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c r="AF119" s="20"/>
      <c r="AG119" s="20"/>
      <c r="AH119" s="20"/>
      <c r="AI119" s="20"/>
      <c r="AJ119" s="20"/>
      <c r="AK119" s="20"/>
      <c r="AL119" s="20"/>
      <c r="AM119" s="20"/>
      <c r="AN119" s="20"/>
      <c r="AO119" s="20"/>
      <c r="AP119" s="20"/>
      <c r="AQ119" s="20"/>
      <c r="AR119" s="20"/>
      <c r="AS119" s="20"/>
      <c r="AT119" s="20"/>
      <c r="AU119" s="20"/>
      <c r="AV119" s="20"/>
      <c r="AW119" s="20"/>
      <c r="AX119" s="20"/>
      <c r="AY119" s="20"/>
      <c r="AZ119" s="20"/>
      <c r="BA119" s="20"/>
      <c r="BB119" s="20"/>
      <c r="BC119" s="20"/>
      <c r="BD119" s="20"/>
    </row>
    <row r="120" spans="1:56">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c r="AF120" s="20"/>
      <c r="AG120" s="20"/>
      <c r="AH120" s="20"/>
      <c r="AI120" s="20"/>
      <c r="AJ120" s="20"/>
      <c r="AK120" s="20"/>
      <c r="AL120" s="20"/>
      <c r="AM120" s="20"/>
      <c r="AN120" s="20"/>
      <c r="AO120" s="20"/>
      <c r="AP120" s="20"/>
      <c r="AQ120" s="20"/>
      <c r="AR120" s="20"/>
      <c r="AS120" s="20"/>
      <c r="AT120" s="20"/>
      <c r="AU120" s="20"/>
      <c r="AV120" s="20"/>
      <c r="AW120" s="20"/>
      <c r="AX120" s="20"/>
      <c r="AY120" s="20"/>
      <c r="AZ120" s="20"/>
      <c r="BA120" s="20"/>
      <c r="BB120" s="20"/>
      <c r="BC120" s="20"/>
      <c r="BD120" s="20"/>
    </row>
    <row r="121" spans="1:56">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c r="AF121" s="20"/>
      <c r="AG121" s="20"/>
      <c r="AH121" s="20"/>
      <c r="AI121" s="20"/>
      <c r="AJ121" s="20"/>
      <c r="AK121" s="20"/>
      <c r="AL121" s="20"/>
      <c r="AM121" s="20"/>
      <c r="AN121" s="20"/>
      <c r="AO121" s="20"/>
      <c r="AP121" s="20"/>
      <c r="AQ121" s="20"/>
      <c r="AR121" s="20"/>
      <c r="AS121" s="20"/>
      <c r="AT121" s="20"/>
      <c r="AU121" s="20"/>
      <c r="AV121" s="20"/>
      <c r="AW121" s="20"/>
      <c r="AX121" s="20"/>
      <c r="AY121" s="20"/>
      <c r="AZ121" s="20"/>
      <c r="BA121" s="20"/>
      <c r="BB121" s="20"/>
      <c r="BC121" s="20"/>
      <c r="BD121" s="20"/>
    </row>
    <row r="122" spans="1:56">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c r="AG122" s="20"/>
      <c r="AH122" s="20"/>
      <c r="AI122" s="20"/>
      <c r="AJ122" s="20"/>
      <c r="AK122" s="20"/>
      <c r="AL122" s="20"/>
      <c r="AM122" s="20"/>
      <c r="AN122" s="20"/>
      <c r="AO122" s="20"/>
      <c r="AP122" s="20"/>
      <c r="AQ122" s="20"/>
      <c r="AR122" s="20"/>
      <c r="AS122" s="20"/>
      <c r="AT122" s="20"/>
      <c r="AU122" s="20"/>
      <c r="AV122" s="20"/>
      <c r="AW122" s="20"/>
      <c r="AX122" s="20"/>
      <c r="AY122" s="20"/>
      <c r="AZ122" s="20"/>
      <c r="BA122" s="20"/>
      <c r="BB122" s="20"/>
      <c r="BC122" s="20"/>
      <c r="BD122" s="20"/>
    </row>
    <row r="123" spans="1:56">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c r="AF123" s="20"/>
      <c r="AG123" s="20"/>
      <c r="AH123" s="20"/>
      <c r="AI123" s="20"/>
      <c r="AJ123" s="20"/>
      <c r="AK123" s="20"/>
      <c r="AL123" s="20"/>
      <c r="AM123" s="20"/>
      <c r="AN123" s="20"/>
      <c r="AO123" s="20"/>
      <c r="AP123" s="20"/>
      <c r="AQ123" s="20"/>
      <c r="AR123" s="20"/>
      <c r="AS123" s="20"/>
      <c r="AT123" s="20"/>
      <c r="AU123" s="20"/>
      <c r="AV123" s="20"/>
      <c r="AW123" s="20"/>
      <c r="AX123" s="20"/>
      <c r="AY123" s="20"/>
      <c r="AZ123" s="20"/>
      <c r="BA123" s="20"/>
      <c r="BB123" s="20"/>
      <c r="BC123" s="20"/>
      <c r="BD123" s="20"/>
    </row>
    <row r="124" spans="1:56">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c r="AF124" s="20"/>
      <c r="AG124" s="20"/>
      <c r="AH124" s="20"/>
      <c r="AI124" s="20"/>
      <c r="AJ124" s="20"/>
      <c r="AK124" s="20"/>
      <c r="AL124" s="20"/>
      <c r="AM124" s="20"/>
      <c r="AN124" s="20"/>
      <c r="AO124" s="20"/>
      <c r="AP124" s="20"/>
      <c r="AQ124" s="20"/>
      <c r="AR124" s="20"/>
      <c r="AS124" s="20"/>
      <c r="AT124" s="20"/>
      <c r="AU124" s="20"/>
      <c r="AV124" s="20"/>
      <c r="AW124" s="20"/>
      <c r="AX124" s="20"/>
      <c r="AY124" s="20"/>
      <c r="AZ124" s="20"/>
      <c r="BA124" s="20"/>
      <c r="BB124" s="20"/>
      <c r="BC124" s="20"/>
      <c r="BD124" s="20"/>
    </row>
    <row r="125" spans="1:56">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c r="AF125" s="20"/>
      <c r="AG125" s="20"/>
      <c r="AH125" s="20"/>
      <c r="AI125" s="20"/>
      <c r="AJ125" s="20"/>
      <c r="AK125" s="20"/>
      <c r="AL125" s="20"/>
      <c r="AM125" s="20"/>
      <c r="AN125" s="20"/>
      <c r="AO125" s="20"/>
      <c r="AP125" s="20"/>
      <c r="AQ125" s="20"/>
      <c r="AR125" s="20"/>
      <c r="AS125" s="20"/>
      <c r="AT125" s="20"/>
      <c r="AU125" s="20"/>
      <c r="AV125" s="20"/>
      <c r="AW125" s="20"/>
      <c r="AX125" s="20"/>
      <c r="AY125" s="20"/>
      <c r="AZ125" s="20"/>
      <c r="BA125" s="20"/>
      <c r="BB125" s="20"/>
      <c r="BC125" s="20"/>
      <c r="BD125" s="20"/>
    </row>
    <row r="126" spans="1:56">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c r="AF126" s="20"/>
      <c r="AG126" s="20"/>
      <c r="AH126" s="20"/>
      <c r="AI126" s="20"/>
      <c r="AJ126" s="20"/>
      <c r="AK126" s="20"/>
      <c r="AL126" s="20"/>
      <c r="AM126" s="20"/>
      <c r="AN126" s="20"/>
      <c r="AO126" s="20"/>
      <c r="AP126" s="20"/>
      <c r="AQ126" s="20"/>
      <c r="AR126" s="20"/>
      <c r="AS126" s="20"/>
      <c r="AT126" s="20"/>
      <c r="AU126" s="20"/>
      <c r="AV126" s="20"/>
      <c r="AW126" s="20"/>
      <c r="AX126" s="20"/>
      <c r="AY126" s="20"/>
      <c r="AZ126" s="20"/>
      <c r="BA126" s="20"/>
      <c r="BB126" s="20"/>
      <c r="BC126" s="20"/>
      <c r="BD126" s="20"/>
    </row>
    <row r="127" spans="1:56">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c r="AK127" s="20"/>
      <c r="AL127" s="20"/>
      <c r="AM127" s="20"/>
      <c r="AN127" s="20"/>
      <c r="AO127" s="20"/>
      <c r="AP127" s="20"/>
      <c r="AQ127" s="20"/>
      <c r="AR127" s="20"/>
      <c r="AS127" s="20"/>
      <c r="AT127" s="20"/>
      <c r="AU127" s="20"/>
      <c r="AV127" s="20"/>
      <c r="AW127" s="20"/>
      <c r="AX127" s="20"/>
      <c r="AY127" s="20"/>
      <c r="AZ127" s="20"/>
      <c r="BA127" s="20"/>
      <c r="BB127" s="20"/>
      <c r="BC127" s="20"/>
      <c r="BD127" s="20"/>
    </row>
    <row r="128" spans="1:56">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c r="AG128" s="20"/>
      <c r="AH128" s="20"/>
      <c r="AI128" s="20"/>
      <c r="AJ128" s="20"/>
      <c r="AK128" s="20"/>
      <c r="AL128" s="20"/>
      <c r="AM128" s="20"/>
      <c r="AN128" s="20"/>
      <c r="AO128" s="20"/>
      <c r="AP128" s="20"/>
      <c r="AQ128" s="20"/>
      <c r="AR128" s="20"/>
      <c r="AS128" s="20"/>
      <c r="AT128" s="20"/>
      <c r="AU128" s="20"/>
      <c r="AV128" s="20"/>
      <c r="AW128" s="20"/>
      <c r="AX128" s="20"/>
      <c r="AY128" s="20"/>
      <c r="AZ128" s="20"/>
      <c r="BA128" s="20"/>
      <c r="BB128" s="20"/>
      <c r="BC128" s="20"/>
      <c r="BD128" s="20"/>
    </row>
    <row r="129" spans="1:56">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c r="AM129" s="20"/>
      <c r="AN129" s="20"/>
      <c r="AO129" s="20"/>
      <c r="AP129" s="20"/>
      <c r="AQ129" s="20"/>
      <c r="AR129" s="20"/>
      <c r="AS129" s="20"/>
      <c r="AT129" s="20"/>
      <c r="AU129" s="20"/>
      <c r="AV129" s="20"/>
      <c r="AW129" s="20"/>
      <c r="AX129" s="20"/>
      <c r="AY129" s="20"/>
      <c r="AZ129" s="20"/>
      <c r="BA129" s="20"/>
      <c r="BB129" s="20"/>
      <c r="BC129" s="20"/>
      <c r="BD129" s="20"/>
    </row>
    <row r="130" spans="1:56">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c r="AM130" s="20"/>
      <c r="AN130" s="20"/>
      <c r="AO130" s="20"/>
      <c r="AP130" s="20"/>
      <c r="AQ130" s="20"/>
      <c r="AR130" s="20"/>
      <c r="AS130" s="20"/>
      <c r="AT130" s="20"/>
      <c r="AU130" s="20"/>
      <c r="AV130" s="20"/>
      <c r="AW130" s="20"/>
      <c r="AX130" s="20"/>
      <c r="AY130" s="20"/>
      <c r="AZ130" s="20"/>
      <c r="BA130" s="20"/>
      <c r="BB130" s="20"/>
      <c r="BC130" s="20"/>
      <c r="BD130" s="20"/>
    </row>
    <row r="131" spans="1:56">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c r="AH131" s="20"/>
      <c r="AI131" s="20"/>
      <c r="AJ131" s="20"/>
      <c r="AK131" s="20"/>
      <c r="AL131" s="20"/>
      <c r="AM131" s="20"/>
      <c r="AN131" s="20"/>
      <c r="AO131" s="20"/>
      <c r="AP131" s="20"/>
      <c r="AQ131" s="20"/>
      <c r="AR131" s="20"/>
      <c r="AS131" s="20"/>
      <c r="AT131" s="20"/>
      <c r="AU131" s="20"/>
      <c r="AV131" s="20"/>
      <c r="AW131" s="20"/>
      <c r="AX131" s="20"/>
      <c r="AY131" s="20"/>
      <c r="AZ131" s="20"/>
      <c r="BA131" s="20"/>
      <c r="BB131" s="20"/>
      <c r="BC131" s="20"/>
      <c r="BD131" s="20"/>
    </row>
    <row r="132" spans="1:56">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c r="AF132" s="20"/>
      <c r="AG132" s="20"/>
      <c r="AH132" s="20"/>
      <c r="AI132" s="20"/>
      <c r="AJ132" s="20"/>
      <c r="AK132" s="20"/>
      <c r="AL132" s="20"/>
      <c r="AM132" s="20"/>
      <c r="AN132" s="20"/>
      <c r="AO132" s="20"/>
      <c r="AP132" s="20"/>
      <c r="AQ132" s="20"/>
      <c r="AR132" s="20"/>
      <c r="AS132" s="20"/>
      <c r="AT132" s="20"/>
      <c r="AU132" s="20"/>
      <c r="AV132" s="20"/>
      <c r="AW132" s="20"/>
      <c r="AX132" s="20"/>
      <c r="AY132" s="20"/>
      <c r="AZ132" s="20"/>
      <c r="BA132" s="20"/>
      <c r="BB132" s="20"/>
      <c r="BC132" s="20"/>
      <c r="BD132" s="20"/>
    </row>
    <row r="133" spans="1:56">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c r="AF133" s="20"/>
      <c r="AG133" s="20"/>
      <c r="AH133" s="20"/>
      <c r="AI133" s="20"/>
      <c r="AJ133" s="20"/>
      <c r="AK133" s="20"/>
      <c r="AL133" s="20"/>
      <c r="AM133" s="20"/>
      <c r="AN133" s="20"/>
      <c r="AO133" s="20"/>
      <c r="AP133" s="20"/>
      <c r="AQ133" s="20"/>
      <c r="AR133" s="20"/>
      <c r="AS133" s="20"/>
      <c r="AT133" s="20"/>
      <c r="AU133" s="20"/>
      <c r="AV133" s="20"/>
      <c r="AW133" s="20"/>
      <c r="AX133" s="20"/>
      <c r="AY133" s="20"/>
      <c r="AZ133" s="20"/>
      <c r="BA133" s="20"/>
      <c r="BB133" s="20"/>
      <c r="BC133" s="20"/>
      <c r="BD133" s="20"/>
    </row>
    <row r="134" spans="1:56">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c r="AF134" s="20"/>
      <c r="AG134" s="20"/>
      <c r="AH134" s="20"/>
      <c r="AI134" s="20"/>
      <c r="AJ134" s="20"/>
      <c r="AK134" s="20"/>
      <c r="AL134" s="20"/>
      <c r="AM134" s="20"/>
      <c r="AN134" s="20"/>
      <c r="AO134" s="20"/>
      <c r="AP134" s="20"/>
      <c r="AQ134" s="20"/>
      <c r="AR134" s="20"/>
      <c r="AS134" s="20"/>
      <c r="AT134" s="20"/>
      <c r="AU134" s="20"/>
      <c r="AV134" s="20"/>
      <c r="AW134" s="20"/>
      <c r="AX134" s="20"/>
      <c r="AY134" s="20"/>
      <c r="AZ134" s="20"/>
      <c r="BA134" s="20"/>
      <c r="BB134" s="20"/>
      <c r="BC134" s="20"/>
      <c r="BD134" s="20"/>
    </row>
    <row r="135" spans="1:56">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c r="AF135" s="20"/>
      <c r="AG135" s="20"/>
      <c r="AH135" s="20"/>
      <c r="AI135" s="20"/>
      <c r="AJ135" s="20"/>
      <c r="AK135" s="20"/>
      <c r="AL135" s="20"/>
      <c r="AM135" s="20"/>
      <c r="AN135" s="20"/>
      <c r="AO135" s="20"/>
      <c r="AP135" s="20"/>
      <c r="AQ135" s="20"/>
      <c r="AR135" s="20"/>
      <c r="AS135" s="20"/>
      <c r="AT135" s="20"/>
      <c r="AU135" s="20"/>
      <c r="AV135" s="20"/>
      <c r="AW135" s="20"/>
      <c r="AX135" s="20"/>
      <c r="AY135" s="20"/>
      <c r="AZ135" s="20"/>
      <c r="BA135" s="20"/>
      <c r="BB135" s="20"/>
      <c r="BC135" s="20"/>
      <c r="BD135" s="20"/>
    </row>
    <row r="136" spans="1:56">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c r="AF136" s="20"/>
      <c r="AG136" s="20"/>
      <c r="AH136" s="20"/>
      <c r="AI136" s="20"/>
      <c r="AJ136" s="20"/>
      <c r="AK136" s="20"/>
      <c r="AL136" s="20"/>
      <c r="AM136" s="20"/>
      <c r="AN136" s="20"/>
      <c r="AO136" s="20"/>
      <c r="AP136" s="20"/>
      <c r="AQ136" s="20"/>
      <c r="AR136" s="20"/>
      <c r="AS136" s="20"/>
      <c r="AT136" s="20"/>
      <c r="AU136" s="20"/>
      <c r="AV136" s="20"/>
      <c r="AW136" s="20"/>
      <c r="AX136" s="20"/>
      <c r="AY136" s="20"/>
      <c r="AZ136" s="20"/>
      <c r="BA136" s="20"/>
      <c r="BB136" s="20"/>
      <c r="BC136" s="20"/>
      <c r="BD136" s="20"/>
    </row>
    <row r="137" spans="1:56">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c r="AE137" s="20"/>
      <c r="AF137" s="20"/>
      <c r="AG137" s="20"/>
      <c r="AH137" s="20"/>
      <c r="AI137" s="20"/>
      <c r="AJ137" s="20"/>
      <c r="AK137" s="20"/>
      <c r="AL137" s="20"/>
      <c r="AM137" s="20"/>
      <c r="AN137" s="20"/>
      <c r="AO137" s="20"/>
      <c r="AP137" s="20"/>
      <c r="AQ137" s="20"/>
      <c r="AR137" s="20"/>
      <c r="AS137" s="20"/>
      <c r="AT137" s="20"/>
      <c r="AU137" s="20"/>
      <c r="AV137" s="20"/>
      <c r="AW137" s="20"/>
      <c r="AX137" s="20"/>
      <c r="AY137" s="20"/>
      <c r="AZ137" s="20"/>
      <c r="BA137" s="20"/>
      <c r="BB137" s="20"/>
      <c r="BC137" s="20"/>
      <c r="BD137" s="20"/>
    </row>
    <row r="138" spans="1:56">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c r="AF138" s="20"/>
      <c r="AG138" s="20"/>
      <c r="AH138" s="20"/>
      <c r="AI138" s="20"/>
      <c r="AJ138" s="20"/>
      <c r="AK138" s="20"/>
      <c r="AL138" s="20"/>
      <c r="AM138" s="20"/>
      <c r="AN138" s="20"/>
      <c r="AO138" s="20"/>
      <c r="AP138" s="20"/>
      <c r="AQ138" s="20"/>
      <c r="AR138" s="20"/>
      <c r="AS138" s="20"/>
      <c r="AT138" s="20"/>
      <c r="AU138" s="20"/>
      <c r="AV138" s="20"/>
      <c r="AW138" s="20"/>
      <c r="AX138" s="20"/>
      <c r="AY138" s="20"/>
      <c r="AZ138" s="20"/>
      <c r="BA138" s="20"/>
      <c r="BB138" s="20"/>
      <c r="BC138" s="20"/>
      <c r="BD138" s="20"/>
    </row>
    <row r="139" spans="1:56">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c r="AF139" s="20"/>
      <c r="AG139" s="20"/>
      <c r="AH139" s="20"/>
      <c r="AI139" s="20"/>
      <c r="AJ139" s="20"/>
      <c r="AK139" s="20"/>
      <c r="AL139" s="20"/>
      <c r="AM139" s="20"/>
      <c r="AN139" s="20"/>
      <c r="AO139" s="20"/>
      <c r="AP139" s="20"/>
      <c r="AQ139" s="20"/>
      <c r="AR139" s="20"/>
      <c r="AS139" s="20"/>
      <c r="AT139" s="20"/>
      <c r="AU139" s="20"/>
      <c r="AV139" s="20"/>
      <c r="AW139" s="20"/>
      <c r="AX139" s="20"/>
      <c r="AY139" s="20"/>
      <c r="AZ139" s="20"/>
      <c r="BA139" s="20"/>
      <c r="BB139" s="20"/>
      <c r="BC139" s="20"/>
      <c r="BD139" s="20"/>
    </row>
    <row r="140" spans="1:56">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c r="AF140" s="20"/>
      <c r="AG140" s="20"/>
      <c r="AH140" s="20"/>
      <c r="AI140" s="20"/>
      <c r="AJ140" s="20"/>
      <c r="AK140" s="20"/>
      <c r="AL140" s="20"/>
      <c r="AM140" s="20"/>
      <c r="AN140" s="20"/>
      <c r="AO140" s="20"/>
      <c r="AP140" s="20"/>
      <c r="AQ140" s="20"/>
      <c r="AR140" s="20"/>
      <c r="AS140" s="20"/>
      <c r="AT140" s="20"/>
      <c r="AU140" s="20"/>
      <c r="AV140" s="20"/>
      <c r="AW140" s="20"/>
      <c r="AX140" s="20"/>
      <c r="AY140" s="20"/>
      <c r="AZ140" s="20"/>
      <c r="BA140" s="20"/>
      <c r="BB140" s="20"/>
      <c r="BC140" s="20"/>
      <c r="BD140" s="20"/>
    </row>
    <row r="141" spans="1:56">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c r="AG141" s="20"/>
      <c r="AH141" s="20"/>
      <c r="AI141" s="20"/>
      <c r="AJ141" s="20"/>
      <c r="AK141" s="20"/>
      <c r="AL141" s="20"/>
      <c r="AM141" s="20"/>
      <c r="AN141" s="20"/>
      <c r="AO141" s="20"/>
      <c r="AP141" s="20"/>
      <c r="AQ141" s="20"/>
      <c r="AR141" s="20"/>
      <c r="AS141" s="20"/>
      <c r="AT141" s="20"/>
      <c r="AU141" s="20"/>
      <c r="AV141" s="20"/>
      <c r="AW141" s="20"/>
      <c r="AX141" s="20"/>
      <c r="AY141" s="20"/>
      <c r="AZ141" s="20"/>
      <c r="BA141" s="20"/>
      <c r="BB141" s="20"/>
      <c r="BC141" s="20"/>
      <c r="BD141" s="20"/>
    </row>
    <row r="142" spans="1:56">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c r="AM142" s="20"/>
      <c r="AN142" s="20"/>
      <c r="AO142" s="20"/>
      <c r="AP142" s="20"/>
      <c r="AQ142" s="20"/>
      <c r="AR142" s="20"/>
      <c r="AS142" s="20"/>
      <c r="AT142" s="20"/>
      <c r="AU142" s="20"/>
      <c r="AV142" s="20"/>
      <c r="AW142" s="20"/>
      <c r="AX142" s="20"/>
      <c r="AY142" s="20"/>
      <c r="AZ142" s="20"/>
      <c r="BA142" s="20"/>
      <c r="BB142" s="20"/>
      <c r="BC142" s="20"/>
      <c r="BD142" s="20"/>
    </row>
    <row r="143" spans="1:56">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c r="AG143" s="20"/>
      <c r="AH143" s="20"/>
      <c r="AI143" s="20"/>
      <c r="AJ143" s="20"/>
      <c r="AK143" s="20"/>
      <c r="AL143" s="20"/>
      <c r="AM143" s="20"/>
      <c r="AN143" s="20"/>
      <c r="AO143" s="20"/>
      <c r="AP143" s="20"/>
      <c r="AQ143" s="20"/>
      <c r="AR143" s="20"/>
      <c r="AS143" s="20"/>
      <c r="AT143" s="20"/>
      <c r="AU143" s="20"/>
      <c r="AV143" s="20"/>
      <c r="AW143" s="20"/>
      <c r="AX143" s="20"/>
      <c r="AY143" s="20"/>
      <c r="AZ143" s="20"/>
      <c r="BA143" s="20"/>
      <c r="BB143" s="20"/>
      <c r="BC143" s="20"/>
      <c r="BD143" s="20"/>
    </row>
    <row r="144" spans="1:56">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c r="AG144" s="20"/>
      <c r="AH144" s="20"/>
      <c r="AI144" s="20"/>
      <c r="AJ144" s="20"/>
      <c r="AK144" s="20"/>
      <c r="AL144" s="20"/>
      <c r="AM144" s="20"/>
      <c r="AN144" s="20"/>
      <c r="AO144" s="20"/>
      <c r="AP144" s="20"/>
      <c r="AQ144" s="20"/>
      <c r="AR144" s="20"/>
      <c r="AS144" s="20"/>
      <c r="AT144" s="20"/>
      <c r="AU144" s="20"/>
      <c r="AV144" s="20"/>
      <c r="AW144" s="20"/>
      <c r="AX144" s="20"/>
      <c r="AY144" s="20"/>
      <c r="AZ144" s="20"/>
      <c r="BA144" s="20"/>
      <c r="BB144" s="20"/>
      <c r="BC144" s="20"/>
      <c r="BD144" s="20"/>
    </row>
    <row r="145" spans="1:56">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c r="AJ145" s="20"/>
      <c r="AK145" s="20"/>
      <c r="AL145" s="20"/>
      <c r="AM145" s="20"/>
      <c r="AN145" s="20"/>
      <c r="AO145" s="20"/>
      <c r="AP145" s="20"/>
      <c r="AQ145" s="20"/>
      <c r="AR145" s="20"/>
      <c r="AS145" s="20"/>
      <c r="AT145" s="20"/>
      <c r="AU145" s="20"/>
      <c r="AV145" s="20"/>
      <c r="AW145" s="20"/>
      <c r="AX145" s="20"/>
      <c r="AY145" s="20"/>
      <c r="AZ145" s="20"/>
      <c r="BA145" s="20"/>
      <c r="BB145" s="20"/>
      <c r="BC145" s="20"/>
      <c r="BD145" s="20"/>
    </row>
    <row r="146" spans="1:56">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c r="AG146" s="20"/>
      <c r="AH146" s="20"/>
      <c r="AI146" s="20"/>
      <c r="AJ146" s="20"/>
      <c r="AK146" s="20"/>
      <c r="AL146" s="20"/>
      <c r="AM146" s="20"/>
      <c r="AN146" s="20"/>
      <c r="AO146" s="20"/>
      <c r="AP146" s="20"/>
      <c r="AQ146" s="20"/>
      <c r="AR146" s="20"/>
      <c r="AS146" s="20"/>
      <c r="AT146" s="20"/>
      <c r="AU146" s="20"/>
      <c r="AV146" s="20"/>
      <c r="AW146" s="20"/>
      <c r="AX146" s="20"/>
      <c r="AY146" s="20"/>
      <c r="AZ146" s="20"/>
      <c r="BA146" s="20"/>
      <c r="BB146" s="20"/>
      <c r="BC146" s="20"/>
      <c r="BD146" s="20"/>
    </row>
    <row r="147" spans="1:56">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c r="AG147" s="20"/>
      <c r="AH147" s="20"/>
      <c r="AI147" s="20"/>
      <c r="AJ147" s="20"/>
      <c r="AK147" s="20"/>
      <c r="AL147" s="20"/>
      <c r="AM147" s="20"/>
      <c r="AN147" s="20"/>
      <c r="AO147" s="20"/>
      <c r="AP147" s="20"/>
      <c r="AQ147" s="20"/>
      <c r="AR147" s="20"/>
      <c r="AS147" s="20"/>
      <c r="AT147" s="20"/>
      <c r="AU147" s="20"/>
      <c r="AV147" s="20"/>
      <c r="AW147" s="20"/>
      <c r="AX147" s="20"/>
      <c r="AY147" s="20"/>
      <c r="AZ147" s="20"/>
      <c r="BA147" s="20"/>
      <c r="BB147" s="20"/>
      <c r="BC147" s="20"/>
      <c r="BD147" s="20"/>
    </row>
    <row r="148" spans="1:56">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20"/>
      <c r="AG148" s="20"/>
      <c r="AH148" s="20"/>
      <c r="AI148" s="20"/>
      <c r="AJ148" s="20"/>
      <c r="AK148" s="20"/>
      <c r="AL148" s="20"/>
      <c r="AM148" s="20"/>
      <c r="AN148" s="20"/>
      <c r="AO148" s="20"/>
      <c r="AP148" s="20"/>
      <c r="AQ148" s="20"/>
      <c r="AR148" s="20"/>
      <c r="AS148" s="20"/>
      <c r="AT148" s="20"/>
      <c r="AU148" s="20"/>
      <c r="AV148" s="20"/>
      <c r="AW148" s="20"/>
      <c r="AX148" s="20"/>
      <c r="AY148" s="20"/>
      <c r="AZ148" s="20"/>
      <c r="BA148" s="20"/>
      <c r="BB148" s="20"/>
      <c r="BC148" s="20"/>
      <c r="BD148" s="20"/>
    </row>
    <row r="149" spans="1:56">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c r="AF149" s="20"/>
      <c r="AG149" s="20"/>
      <c r="AH149" s="20"/>
      <c r="AI149" s="20"/>
      <c r="AJ149" s="20"/>
      <c r="AK149" s="20"/>
      <c r="AL149" s="20"/>
      <c r="AM149" s="20"/>
      <c r="AN149" s="20"/>
      <c r="AO149" s="20"/>
      <c r="AP149" s="20"/>
      <c r="AQ149" s="20"/>
      <c r="AR149" s="20"/>
      <c r="AS149" s="20"/>
      <c r="AT149" s="20"/>
      <c r="AU149" s="20"/>
      <c r="AV149" s="20"/>
      <c r="AW149" s="20"/>
      <c r="AX149" s="20"/>
      <c r="AY149" s="20"/>
      <c r="AZ149" s="20"/>
      <c r="BA149" s="20"/>
      <c r="BB149" s="20"/>
      <c r="BC149" s="20"/>
      <c r="BD149" s="20"/>
    </row>
    <row r="150" spans="1:56">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20"/>
      <c r="AG150" s="20"/>
      <c r="AH150" s="20"/>
      <c r="AI150" s="20"/>
      <c r="AJ150" s="20"/>
      <c r="AK150" s="20"/>
      <c r="AL150" s="20"/>
      <c r="AM150" s="20"/>
      <c r="AN150" s="20"/>
      <c r="AO150" s="20"/>
      <c r="AP150" s="20"/>
      <c r="AQ150" s="20"/>
      <c r="AR150" s="20"/>
      <c r="AS150" s="20"/>
      <c r="AT150" s="20"/>
      <c r="AU150" s="20"/>
      <c r="AV150" s="20"/>
      <c r="AW150" s="20"/>
      <c r="AX150" s="20"/>
      <c r="AY150" s="20"/>
      <c r="AZ150" s="20"/>
      <c r="BA150" s="20"/>
      <c r="BB150" s="20"/>
      <c r="BC150" s="20"/>
      <c r="BD150" s="20"/>
    </row>
    <row r="151" spans="1:56">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c r="AH151" s="20"/>
      <c r="AI151" s="20"/>
      <c r="AJ151" s="20"/>
      <c r="AK151" s="20"/>
      <c r="AL151" s="20"/>
      <c r="AM151" s="20"/>
      <c r="AN151" s="20"/>
      <c r="AO151" s="20"/>
      <c r="AP151" s="20"/>
      <c r="AQ151" s="20"/>
      <c r="AR151" s="20"/>
      <c r="AS151" s="20"/>
      <c r="AT151" s="20"/>
      <c r="AU151" s="20"/>
      <c r="AV151" s="20"/>
      <c r="AW151" s="20"/>
      <c r="AX151" s="20"/>
      <c r="AY151" s="20"/>
      <c r="AZ151" s="20"/>
      <c r="BA151" s="20"/>
      <c r="BB151" s="20"/>
      <c r="BC151" s="20"/>
      <c r="BD151" s="20"/>
    </row>
    <row r="152" spans="1:56">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c r="AH152" s="20"/>
      <c r="AI152" s="20"/>
      <c r="AJ152" s="20"/>
      <c r="AK152" s="20"/>
      <c r="AL152" s="20"/>
      <c r="AM152" s="20"/>
      <c r="AN152" s="20"/>
      <c r="AO152" s="20"/>
      <c r="AP152" s="20"/>
      <c r="AQ152" s="20"/>
      <c r="AR152" s="20"/>
      <c r="AS152" s="20"/>
      <c r="AT152" s="20"/>
      <c r="AU152" s="20"/>
      <c r="AV152" s="20"/>
      <c r="AW152" s="20"/>
      <c r="AX152" s="20"/>
      <c r="AY152" s="20"/>
      <c r="AZ152" s="20"/>
      <c r="BA152" s="20"/>
      <c r="BB152" s="20"/>
      <c r="BC152" s="20"/>
      <c r="BD152" s="20"/>
    </row>
    <row r="153" spans="1:56">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c r="AG153" s="20"/>
      <c r="AH153" s="20"/>
      <c r="AI153" s="20"/>
      <c r="AJ153" s="20"/>
      <c r="AK153" s="20"/>
      <c r="AL153" s="20"/>
      <c r="AM153" s="20"/>
      <c r="AN153" s="20"/>
      <c r="AO153" s="20"/>
      <c r="AP153" s="20"/>
      <c r="AQ153" s="20"/>
      <c r="AR153" s="20"/>
      <c r="AS153" s="20"/>
      <c r="AT153" s="20"/>
      <c r="AU153" s="20"/>
      <c r="AV153" s="20"/>
      <c r="AW153" s="20"/>
      <c r="AX153" s="20"/>
      <c r="AY153" s="20"/>
      <c r="AZ153" s="20"/>
      <c r="BA153" s="20"/>
      <c r="BB153" s="20"/>
      <c r="BC153" s="20"/>
      <c r="BD153" s="20"/>
    </row>
    <row r="154" spans="1:56">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c r="AJ154" s="20"/>
      <c r="AK154" s="20"/>
      <c r="AL154" s="20"/>
      <c r="AM154" s="20"/>
      <c r="AN154" s="20"/>
      <c r="AO154" s="20"/>
      <c r="AP154" s="20"/>
      <c r="AQ154" s="20"/>
      <c r="AR154" s="20"/>
      <c r="AS154" s="20"/>
      <c r="AT154" s="20"/>
      <c r="AU154" s="20"/>
      <c r="AV154" s="20"/>
      <c r="AW154" s="20"/>
      <c r="AX154" s="20"/>
      <c r="AY154" s="20"/>
      <c r="AZ154" s="20"/>
      <c r="BA154" s="20"/>
      <c r="BB154" s="20"/>
      <c r="BC154" s="20"/>
      <c r="BD154" s="20"/>
    </row>
    <row r="155" spans="1:56">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c r="AH155" s="20"/>
      <c r="AI155" s="20"/>
      <c r="AJ155" s="20"/>
      <c r="AK155" s="20"/>
      <c r="AL155" s="20"/>
      <c r="AM155" s="20"/>
      <c r="AN155" s="20"/>
      <c r="AO155" s="20"/>
      <c r="AP155" s="20"/>
      <c r="AQ155" s="20"/>
      <c r="AR155" s="20"/>
      <c r="AS155" s="20"/>
      <c r="AT155" s="20"/>
      <c r="AU155" s="20"/>
      <c r="AV155" s="20"/>
      <c r="AW155" s="20"/>
      <c r="AX155" s="20"/>
      <c r="AY155" s="20"/>
      <c r="AZ155" s="20"/>
      <c r="BA155" s="20"/>
      <c r="BB155" s="20"/>
      <c r="BC155" s="20"/>
      <c r="BD155" s="20"/>
    </row>
    <row r="156" spans="1:56">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c r="AG156" s="20"/>
      <c r="AH156" s="20"/>
      <c r="AI156" s="20"/>
      <c r="AJ156" s="20"/>
      <c r="AK156" s="20"/>
      <c r="AL156" s="20"/>
      <c r="AM156" s="20"/>
      <c r="AN156" s="20"/>
      <c r="AO156" s="20"/>
      <c r="AP156" s="20"/>
      <c r="AQ156" s="20"/>
      <c r="AR156" s="20"/>
      <c r="AS156" s="20"/>
      <c r="AT156" s="20"/>
      <c r="AU156" s="20"/>
      <c r="AV156" s="20"/>
      <c r="AW156" s="20"/>
      <c r="AX156" s="20"/>
      <c r="AY156" s="20"/>
      <c r="AZ156" s="20"/>
      <c r="BA156" s="20"/>
      <c r="BB156" s="20"/>
      <c r="BC156" s="20"/>
      <c r="BD156" s="20"/>
    </row>
    <row r="157" spans="1:56">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c r="AJ157" s="20"/>
      <c r="AK157" s="20"/>
      <c r="AL157" s="20"/>
      <c r="AM157" s="20"/>
      <c r="AN157" s="20"/>
      <c r="AO157" s="20"/>
      <c r="AP157" s="20"/>
      <c r="AQ157" s="20"/>
      <c r="AR157" s="20"/>
      <c r="AS157" s="20"/>
      <c r="AT157" s="20"/>
      <c r="AU157" s="20"/>
      <c r="AV157" s="20"/>
      <c r="AW157" s="20"/>
      <c r="AX157" s="20"/>
      <c r="AY157" s="20"/>
      <c r="AZ157" s="20"/>
      <c r="BA157" s="20"/>
      <c r="BB157" s="20"/>
      <c r="BC157" s="20"/>
      <c r="BD157" s="20"/>
    </row>
    <row r="158" spans="1:56">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c r="AJ158" s="20"/>
      <c r="AK158" s="20"/>
      <c r="AL158" s="20"/>
      <c r="AM158" s="20"/>
      <c r="AN158" s="20"/>
      <c r="AO158" s="20"/>
      <c r="AP158" s="20"/>
      <c r="AQ158" s="20"/>
      <c r="AR158" s="20"/>
      <c r="AS158" s="20"/>
      <c r="AT158" s="20"/>
      <c r="AU158" s="20"/>
      <c r="AV158" s="20"/>
      <c r="AW158" s="20"/>
      <c r="AX158" s="20"/>
      <c r="AY158" s="20"/>
      <c r="AZ158" s="20"/>
      <c r="BA158" s="20"/>
      <c r="BB158" s="20"/>
      <c r="BC158" s="20"/>
      <c r="BD158" s="20"/>
    </row>
    <row r="159" spans="1:56">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c r="AI159" s="20"/>
      <c r="AJ159" s="20"/>
      <c r="AK159" s="20"/>
      <c r="AL159" s="20"/>
      <c r="AM159" s="20"/>
      <c r="AN159" s="20"/>
      <c r="AO159" s="20"/>
      <c r="AP159" s="20"/>
      <c r="AQ159" s="20"/>
      <c r="AR159" s="20"/>
      <c r="AS159" s="20"/>
      <c r="AT159" s="20"/>
      <c r="AU159" s="20"/>
      <c r="AV159" s="20"/>
      <c r="AW159" s="20"/>
      <c r="AX159" s="20"/>
      <c r="AY159" s="20"/>
      <c r="AZ159" s="20"/>
      <c r="BA159" s="20"/>
      <c r="BB159" s="20"/>
      <c r="BC159" s="20"/>
      <c r="BD159" s="20"/>
    </row>
    <row r="160" spans="1:56">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c r="AM160" s="20"/>
      <c r="AN160" s="20"/>
      <c r="AO160" s="20"/>
      <c r="AP160" s="20"/>
      <c r="AQ160" s="20"/>
      <c r="AR160" s="20"/>
      <c r="AS160" s="20"/>
      <c r="AT160" s="20"/>
      <c r="AU160" s="20"/>
      <c r="AV160" s="20"/>
      <c r="AW160" s="20"/>
      <c r="AX160" s="20"/>
      <c r="AY160" s="20"/>
      <c r="AZ160" s="20"/>
      <c r="BA160" s="20"/>
      <c r="BB160" s="20"/>
      <c r="BC160" s="20"/>
      <c r="BD160" s="20"/>
    </row>
    <row r="161" spans="1:56">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c r="AJ161" s="20"/>
      <c r="AK161" s="20"/>
      <c r="AL161" s="20"/>
      <c r="AM161" s="20"/>
      <c r="AN161" s="20"/>
      <c r="AO161" s="20"/>
      <c r="AP161" s="20"/>
      <c r="AQ161" s="20"/>
      <c r="AR161" s="20"/>
      <c r="AS161" s="20"/>
      <c r="AT161" s="20"/>
      <c r="AU161" s="20"/>
      <c r="AV161" s="20"/>
      <c r="AW161" s="20"/>
      <c r="AX161" s="20"/>
      <c r="AY161" s="20"/>
      <c r="AZ161" s="20"/>
      <c r="BA161" s="20"/>
      <c r="BB161" s="20"/>
      <c r="BC161" s="20"/>
      <c r="BD161" s="20"/>
    </row>
    <row r="162" spans="1:56">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c r="AM162" s="20"/>
      <c r="AN162" s="20"/>
      <c r="AO162" s="20"/>
      <c r="AP162" s="20"/>
      <c r="AQ162" s="20"/>
      <c r="AR162" s="20"/>
      <c r="AS162" s="20"/>
      <c r="AT162" s="20"/>
      <c r="AU162" s="20"/>
      <c r="AV162" s="20"/>
      <c r="AW162" s="20"/>
      <c r="AX162" s="20"/>
      <c r="AY162" s="20"/>
      <c r="AZ162" s="20"/>
      <c r="BA162" s="20"/>
      <c r="BB162" s="20"/>
      <c r="BC162" s="20"/>
      <c r="BD162" s="20"/>
    </row>
    <row r="163" spans="1:56">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c r="AH163" s="20"/>
      <c r="AI163" s="20"/>
      <c r="AJ163" s="20"/>
      <c r="AK163" s="20"/>
      <c r="AL163" s="20"/>
      <c r="AM163" s="20"/>
      <c r="AN163" s="20"/>
      <c r="AO163" s="20"/>
      <c r="AP163" s="20"/>
      <c r="AQ163" s="20"/>
      <c r="AR163" s="20"/>
      <c r="AS163" s="20"/>
      <c r="AT163" s="20"/>
      <c r="AU163" s="20"/>
      <c r="AV163" s="20"/>
      <c r="AW163" s="20"/>
      <c r="AX163" s="20"/>
      <c r="AY163" s="20"/>
      <c r="AZ163" s="20"/>
      <c r="BA163" s="20"/>
      <c r="BB163" s="20"/>
      <c r="BC163" s="20"/>
      <c r="BD163" s="20"/>
    </row>
    <row r="164" spans="1:56">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c r="AJ164" s="20"/>
      <c r="AK164" s="20"/>
      <c r="AL164" s="20"/>
      <c r="AM164" s="20"/>
      <c r="AN164" s="20"/>
      <c r="AO164" s="20"/>
      <c r="AP164" s="20"/>
      <c r="AQ164" s="20"/>
      <c r="AR164" s="20"/>
      <c r="AS164" s="20"/>
      <c r="AT164" s="20"/>
      <c r="AU164" s="20"/>
      <c r="AV164" s="20"/>
      <c r="AW164" s="20"/>
      <c r="AX164" s="20"/>
      <c r="AY164" s="20"/>
      <c r="AZ164" s="20"/>
      <c r="BA164" s="20"/>
      <c r="BB164" s="20"/>
      <c r="BC164" s="20"/>
      <c r="BD164" s="20"/>
    </row>
    <row r="165" spans="1:56">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c r="AM165" s="20"/>
      <c r="AN165" s="20"/>
      <c r="AO165" s="20"/>
      <c r="AP165" s="20"/>
      <c r="AQ165" s="20"/>
      <c r="AR165" s="20"/>
      <c r="AS165" s="20"/>
      <c r="AT165" s="20"/>
      <c r="AU165" s="20"/>
      <c r="AV165" s="20"/>
      <c r="AW165" s="20"/>
      <c r="AX165" s="20"/>
      <c r="AY165" s="20"/>
      <c r="AZ165" s="20"/>
      <c r="BA165" s="20"/>
      <c r="BB165" s="20"/>
      <c r="BC165" s="20"/>
      <c r="BD165" s="20"/>
    </row>
    <row r="166" spans="1:56">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c r="AM166" s="20"/>
      <c r="AN166" s="20"/>
      <c r="AO166" s="20"/>
      <c r="AP166" s="20"/>
      <c r="AQ166" s="20"/>
      <c r="AR166" s="20"/>
      <c r="AS166" s="20"/>
      <c r="AT166" s="20"/>
      <c r="AU166" s="20"/>
      <c r="AV166" s="20"/>
      <c r="AW166" s="20"/>
      <c r="AX166" s="20"/>
      <c r="AY166" s="20"/>
      <c r="AZ166" s="20"/>
      <c r="BA166" s="20"/>
      <c r="BB166" s="20"/>
      <c r="BC166" s="20"/>
      <c r="BD166" s="20"/>
    </row>
    <row r="167" spans="1:56">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c r="AM167" s="20"/>
      <c r="AN167" s="20"/>
      <c r="AO167" s="20"/>
      <c r="AP167" s="20"/>
      <c r="AQ167" s="20"/>
      <c r="AR167" s="20"/>
      <c r="AS167" s="20"/>
      <c r="AT167" s="20"/>
      <c r="AU167" s="20"/>
      <c r="AV167" s="20"/>
      <c r="AW167" s="20"/>
      <c r="AX167" s="20"/>
      <c r="AY167" s="20"/>
      <c r="AZ167" s="20"/>
      <c r="BA167" s="20"/>
      <c r="BB167" s="20"/>
      <c r="BC167" s="20"/>
      <c r="BD167" s="20"/>
    </row>
    <row r="168" spans="1:56">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c r="AM168" s="20"/>
      <c r="AN168" s="20"/>
      <c r="AO168" s="20"/>
      <c r="AP168" s="20"/>
      <c r="AQ168" s="20"/>
      <c r="AR168" s="20"/>
      <c r="AS168" s="20"/>
      <c r="AT168" s="20"/>
      <c r="AU168" s="20"/>
      <c r="AV168" s="20"/>
      <c r="AW168" s="20"/>
      <c r="AX168" s="20"/>
      <c r="AY168" s="20"/>
      <c r="AZ168" s="20"/>
      <c r="BA168" s="20"/>
      <c r="BB168" s="20"/>
      <c r="BC168" s="20"/>
      <c r="BD168" s="20"/>
    </row>
    <row r="169" spans="1:56">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c r="AM169" s="20"/>
      <c r="AN169" s="20"/>
      <c r="AO169" s="20"/>
      <c r="AP169" s="20"/>
      <c r="AQ169" s="20"/>
      <c r="AR169" s="20"/>
      <c r="AS169" s="20"/>
      <c r="AT169" s="20"/>
      <c r="AU169" s="20"/>
      <c r="AV169" s="20"/>
      <c r="AW169" s="20"/>
      <c r="AX169" s="20"/>
      <c r="AY169" s="20"/>
      <c r="AZ169" s="20"/>
      <c r="BA169" s="20"/>
      <c r="BB169" s="20"/>
      <c r="BC169" s="20"/>
      <c r="BD169" s="20"/>
    </row>
    <row r="170" spans="1:56">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c r="AM170" s="20"/>
      <c r="AN170" s="20"/>
      <c r="AO170" s="20"/>
      <c r="AP170" s="20"/>
      <c r="AQ170" s="20"/>
      <c r="AR170" s="20"/>
      <c r="AS170" s="20"/>
      <c r="AT170" s="20"/>
      <c r="AU170" s="20"/>
      <c r="AV170" s="20"/>
      <c r="AW170" s="20"/>
      <c r="AX170" s="20"/>
      <c r="AY170" s="20"/>
      <c r="AZ170" s="20"/>
      <c r="BA170" s="20"/>
      <c r="BB170" s="20"/>
      <c r="BC170" s="20"/>
      <c r="BD170" s="20"/>
    </row>
    <row r="171" spans="1:56">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c r="AM171" s="20"/>
      <c r="AN171" s="20"/>
      <c r="AO171" s="20"/>
      <c r="AP171" s="20"/>
      <c r="AQ171" s="20"/>
      <c r="AR171" s="20"/>
      <c r="AS171" s="20"/>
      <c r="AT171" s="20"/>
      <c r="AU171" s="20"/>
      <c r="AV171" s="20"/>
      <c r="AW171" s="20"/>
      <c r="AX171" s="20"/>
      <c r="AY171" s="20"/>
      <c r="AZ171" s="20"/>
      <c r="BA171" s="20"/>
      <c r="BB171" s="20"/>
      <c r="BC171" s="20"/>
      <c r="BD171" s="20"/>
    </row>
    <row r="172" spans="1:56">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c r="AM172" s="20"/>
      <c r="AN172" s="20"/>
      <c r="AO172" s="20"/>
      <c r="AP172" s="20"/>
      <c r="AQ172" s="20"/>
      <c r="AR172" s="20"/>
      <c r="AS172" s="20"/>
      <c r="AT172" s="20"/>
      <c r="AU172" s="20"/>
      <c r="AV172" s="20"/>
      <c r="AW172" s="20"/>
      <c r="AX172" s="20"/>
      <c r="AY172" s="20"/>
      <c r="AZ172" s="20"/>
      <c r="BA172" s="20"/>
      <c r="BB172" s="20"/>
      <c r="BC172" s="20"/>
      <c r="BD172" s="20"/>
    </row>
    <row r="173" spans="1:56">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c r="AM173" s="20"/>
      <c r="AN173" s="20"/>
      <c r="AO173" s="20"/>
      <c r="AP173" s="20"/>
      <c r="AQ173" s="20"/>
      <c r="AR173" s="20"/>
      <c r="AS173" s="20"/>
      <c r="AT173" s="20"/>
      <c r="AU173" s="20"/>
      <c r="AV173" s="20"/>
      <c r="AW173" s="20"/>
      <c r="AX173" s="20"/>
      <c r="AY173" s="20"/>
      <c r="AZ173" s="20"/>
      <c r="BA173" s="20"/>
      <c r="BB173" s="20"/>
      <c r="BC173" s="20"/>
      <c r="BD173" s="20"/>
    </row>
    <row r="174" spans="1:56">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c r="AM174" s="20"/>
      <c r="AN174" s="20"/>
      <c r="AO174" s="20"/>
      <c r="AP174" s="20"/>
      <c r="AQ174" s="20"/>
      <c r="AR174" s="20"/>
      <c r="AS174" s="20"/>
      <c r="AT174" s="20"/>
      <c r="AU174" s="20"/>
      <c r="AV174" s="20"/>
      <c r="AW174" s="20"/>
      <c r="AX174" s="20"/>
      <c r="AY174" s="20"/>
      <c r="AZ174" s="20"/>
      <c r="BA174" s="20"/>
      <c r="BB174" s="20"/>
      <c r="BC174" s="20"/>
      <c r="BD174" s="20"/>
    </row>
    <row r="175" spans="1:56">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c r="AM175" s="20"/>
      <c r="AN175" s="20"/>
      <c r="AO175" s="20"/>
      <c r="AP175" s="20"/>
      <c r="AQ175" s="20"/>
      <c r="AR175" s="20"/>
      <c r="AS175" s="20"/>
      <c r="AT175" s="20"/>
      <c r="AU175" s="20"/>
      <c r="AV175" s="20"/>
      <c r="AW175" s="20"/>
      <c r="AX175" s="20"/>
      <c r="AY175" s="20"/>
      <c r="AZ175" s="20"/>
      <c r="BA175" s="20"/>
      <c r="BB175" s="20"/>
      <c r="BC175" s="20"/>
      <c r="BD175" s="20"/>
    </row>
    <row r="176" spans="1:56">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c r="AO176" s="20"/>
      <c r="AP176" s="20"/>
      <c r="AQ176" s="20"/>
      <c r="AR176" s="20"/>
      <c r="AS176" s="20"/>
      <c r="AT176" s="20"/>
      <c r="AU176" s="20"/>
      <c r="AV176" s="20"/>
      <c r="AW176" s="20"/>
      <c r="AX176" s="20"/>
      <c r="AY176" s="20"/>
      <c r="AZ176" s="20"/>
      <c r="BA176" s="20"/>
      <c r="BB176" s="20"/>
      <c r="BC176" s="20"/>
      <c r="BD176" s="20"/>
    </row>
    <row r="177" spans="1:56">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c r="AM177" s="20"/>
      <c r="AN177" s="20"/>
      <c r="AO177" s="20"/>
      <c r="AP177" s="20"/>
      <c r="AQ177" s="20"/>
      <c r="AR177" s="20"/>
      <c r="AS177" s="20"/>
      <c r="AT177" s="20"/>
      <c r="AU177" s="20"/>
      <c r="AV177" s="20"/>
      <c r="AW177" s="20"/>
      <c r="AX177" s="20"/>
      <c r="AY177" s="20"/>
      <c r="AZ177" s="20"/>
      <c r="BA177" s="20"/>
      <c r="BB177" s="20"/>
      <c r="BC177" s="20"/>
      <c r="BD177" s="20"/>
    </row>
    <row r="178" spans="1:56">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c r="AM178" s="20"/>
      <c r="AN178" s="20"/>
      <c r="AO178" s="20"/>
      <c r="AP178" s="20"/>
      <c r="AQ178" s="20"/>
      <c r="AR178" s="20"/>
      <c r="AS178" s="20"/>
      <c r="AT178" s="20"/>
      <c r="AU178" s="20"/>
      <c r="AV178" s="20"/>
      <c r="AW178" s="20"/>
      <c r="AX178" s="20"/>
      <c r="AY178" s="20"/>
      <c r="AZ178" s="20"/>
      <c r="BA178" s="20"/>
      <c r="BB178" s="20"/>
      <c r="BC178" s="20"/>
      <c r="BD178" s="20"/>
    </row>
    <row r="179" spans="1:56">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c r="AM179" s="20"/>
      <c r="AN179" s="20"/>
      <c r="AO179" s="20"/>
      <c r="AP179" s="20"/>
      <c r="AQ179" s="20"/>
      <c r="AR179" s="20"/>
      <c r="AS179" s="20"/>
      <c r="AT179" s="20"/>
      <c r="AU179" s="20"/>
      <c r="AV179" s="20"/>
      <c r="AW179" s="20"/>
      <c r="AX179" s="20"/>
      <c r="AY179" s="20"/>
      <c r="AZ179" s="20"/>
      <c r="BA179" s="20"/>
      <c r="BB179" s="20"/>
      <c r="BC179" s="20"/>
      <c r="BD179" s="20"/>
    </row>
    <row r="180" spans="1:56">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c r="AM180" s="20"/>
      <c r="AN180" s="20"/>
      <c r="AO180" s="20"/>
      <c r="AP180" s="20"/>
      <c r="AQ180" s="20"/>
      <c r="AR180" s="20"/>
      <c r="AS180" s="20"/>
      <c r="AT180" s="20"/>
      <c r="AU180" s="20"/>
      <c r="AV180" s="20"/>
      <c r="AW180" s="20"/>
      <c r="AX180" s="20"/>
      <c r="AY180" s="20"/>
      <c r="AZ180" s="20"/>
      <c r="BA180" s="20"/>
      <c r="BB180" s="20"/>
      <c r="BC180" s="20"/>
      <c r="BD180" s="20"/>
    </row>
    <row r="181" spans="1:56">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c r="AM181" s="20"/>
      <c r="AN181" s="20"/>
      <c r="AO181" s="20"/>
      <c r="AP181" s="20"/>
      <c r="AQ181" s="20"/>
      <c r="AR181" s="20"/>
      <c r="AS181" s="20"/>
      <c r="AT181" s="20"/>
      <c r="AU181" s="20"/>
      <c r="AV181" s="20"/>
      <c r="AW181" s="20"/>
      <c r="AX181" s="20"/>
      <c r="AY181" s="20"/>
      <c r="AZ181" s="20"/>
      <c r="BA181" s="20"/>
      <c r="BB181" s="20"/>
      <c r="BC181" s="20"/>
      <c r="BD181" s="20"/>
    </row>
    <row r="182" spans="1:56">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c r="AM182" s="20"/>
      <c r="AN182" s="20"/>
      <c r="AO182" s="20"/>
      <c r="AP182" s="20"/>
      <c r="AQ182" s="20"/>
      <c r="AR182" s="20"/>
      <c r="AS182" s="20"/>
      <c r="AT182" s="20"/>
      <c r="AU182" s="20"/>
      <c r="AV182" s="20"/>
      <c r="AW182" s="20"/>
      <c r="AX182" s="20"/>
      <c r="AY182" s="20"/>
      <c r="AZ182" s="20"/>
      <c r="BA182" s="20"/>
      <c r="BB182" s="20"/>
      <c r="BC182" s="20"/>
      <c r="BD182" s="20"/>
    </row>
    <row r="183" spans="1:56">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c r="AM183" s="20"/>
      <c r="AN183" s="20"/>
      <c r="AO183" s="20"/>
      <c r="AP183" s="20"/>
      <c r="AQ183" s="20"/>
      <c r="AR183" s="20"/>
      <c r="AS183" s="20"/>
      <c r="AT183" s="20"/>
      <c r="AU183" s="20"/>
      <c r="AV183" s="20"/>
      <c r="AW183" s="20"/>
      <c r="AX183" s="20"/>
      <c r="AY183" s="20"/>
      <c r="AZ183" s="20"/>
      <c r="BA183" s="20"/>
      <c r="BB183" s="20"/>
      <c r="BC183" s="20"/>
      <c r="BD183" s="20"/>
    </row>
    <row r="184" spans="1:56">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c r="AO184" s="20"/>
      <c r="AP184" s="20"/>
      <c r="AQ184" s="20"/>
      <c r="AR184" s="20"/>
      <c r="AS184" s="20"/>
      <c r="AT184" s="20"/>
      <c r="AU184" s="20"/>
      <c r="AV184" s="20"/>
      <c r="AW184" s="20"/>
      <c r="AX184" s="20"/>
      <c r="AY184" s="20"/>
      <c r="AZ184" s="20"/>
      <c r="BA184" s="20"/>
      <c r="BB184" s="20"/>
      <c r="BC184" s="20"/>
      <c r="BD184" s="20"/>
    </row>
    <row r="185" spans="1:56">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c r="AM185" s="20"/>
      <c r="AN185" s="20"/>
      <c r="AO185" s="20"/>
      <c r="AP185" s="20"/>
      <c r="AQ185" s="20"/>
      <c r="AR185" s="20"/>
      <c r="AS185" s="20"/>
      <c r="AT185" s="20"/>
      <c r="AU185" s="20"/>
      <c r="AV185" s="20"/>
      <c r="AW185" s="20"/>
      <c r="AX185" s="20"/>
      <c r="AY185" s="20"/>
      <c r="AZ185" s="20"/>
      <c r="BA185" s="20"/>
      <c r="BB185" s="20"/>
      <c r="BC185" s="20"/>
      <c r="BD185" s="20"/>
    </row>
    <row r="186" spans="1:56">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c r="AM186" s="20"/>
      <c r="AN186" s="20"/>
      <c r="AO186" s="20"/>
      <c r="AP186" s="20"/>
      <c r="AQ186" s="20"/>
      <c r="AR186" s="20"/>
      <c r="AS186" s="20"/>
      <c r="AT186" s="20"/>
      <c r="AU186" s="20"/>
      <c r="AV186" s="20"/>
      <c r="AW186" s="20"/>
      <c r="AX186" s="20"/>
      <c r="AY186" s="20"/>
      <c r="AZ186" s="20"/>
      <c r="BA186" s="20"/>
      <c r="BB186" s="20"/>
      <c r="BC186" s="20"/>
      <c r="BD186" s="20"/>
    </row>
    <row r="187" spans="1:56">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c r="AO187" s="20"/>
      <c r="AP187" s="20"/>
      <c r="AQ187" s="20"/>
      <c r="AR187" s="20"/>
      <c r="AS187" s="20"/>
      <c r="AT187" s="20"/>
      <c r="AU187" s="20"/>
      <c r="AV187" s="20"/>
      <c r="AW187" s="20"/>
      <c r="AX187" s="20"/>
      <c r="AY187" s="20"/>
      <c r="AZ187" s="20"/>
      <c r="BA187" s="20"/>
      <c r="BB187" s="20"/>
      <c r="BC187" s="20"/>
      <c r="BD187" s="20"/>
    </row>
    <row r="188" spans="1:56">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c r="AO188" s="20"/>
      <c r="AP188" s="20"/>
      <c r="AQ188" s="20"/>
      <c r="AR188" s="20"/>
      <c r="AS188" s="20"/>
      <c r="AT188" s="20"/>
      <c r="AU188" s="20"/>
      <c r="AV188" s="20"/>
      <c r="AW188" s="20"/>
      <c r="AX188" s="20"/>
      <c r="AY188" s="20"/>
      <c r="AZ188" s="20"/>
      <c r="BA188" s="20"/>
      <c r="BB188" s="20"/>
      <c r="BC188" s="20"/>
      <c r="BD188" s="20"/>
    </row>
    <row r="189" spans="1:56">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c r="AN189" s="20"/>
      <c r="AO189" s="20"/>
      <c r="AP189" s="20"/>
      <c r="AQ189" s="20"/>
      <c r="AR189" s="20"/>
      <c r="AS189" s="20"/>
      <c r="AT189" s="20"/>
      <c r="AU189" s="20"/>
      <c r="AV189" s="20"/>
      <c r="AW189" s="20"/>
      <c r="AX189" s="20"/>
      <c r="AY189" s="20"/>
      <c r="AZ189" s="20"/>
      <c r="BA189" s="20"/>
      <c r="BB189" s="20"/>
      <c r="BC189" s="20"/>
      <c r="BD189" s="20"/>
    </row>
    <row r="190" spans="1:56">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c r="AO190" s="20"/>
      <c r="AP190" s="20"/>
      <c r="AQ190" s="20"/>
      <c r="AR190" s="20"/>
      <c r="AS190" s="20"/>
      <c r="AT190" s="20"/>
      <c r="AU190" s="20"/>
      <c r="AV190" s="20"/>
      <c r="AW190" s="20"/>
      <c r="AX190" s="20"/>
      <c r="AY190" s="20"/>
      <c r="AZ190" s="20"/>
      <c r="BA190" s="20"/>
      <c r="BB190" s="20"/>
      <c r="BC190" s="20"/>
      <c r="BD190" s="20"/>
    </row>
    <row r="191" spans="1:56">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c r="AO191" s="20"/>
      <c r="AP191" s="20"/>
      <c r="AQ191" s="20"/>
      <c r="AR191" s="20"/>
      <c r="AS191" s="20"/>
      <c r="AT191" s="20"/>
      <c r="AU191" s="20"/>
      <c r="AV191" s="20"/>
      <c r="AW191" s="20"/>
      <c r="AX191" s="20"/>
      <c r="AY191" s="20"/>
      <c r="AZ191" s="20"/>
      <c r="BA191" s="20"/>
      <c r="BB191" s="20"/>
      <c r="BC191" s="20"/>
      <c r="BD191" s="20"/>
    </row>
    <row r="192" spans="1:56">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c r="AO192" s="20"/>
      <c r="AP192" s="20"/>
      <c r="AQ192" s="20"/>
      <c r="AR192" s="20"/>
      <c r="AS192" s="20"/>
      <c r="AT192" s="20"/>
      <c r="AU192" s="20"/>
      <c r="AV192" s="20"/>
      <c r="AW192" s="20"/>
      <c r="AX192" s="20"/>
      <c r="AY192" s="20"/>
      <c r="AZ192" s="20"/>
      <c r="BA192" s="20"/>
      <c r="BB192" s="20"/>
      <c r="BC192" s="20"/>
      <c r="BD192" s="20"/>
    </row>
  </sheetData>
  <mergeCells count="4">
    <mergeCell ref="O37:P40"/>
    <mergeCell ref="P41:Q41"/>
    <mergeCell ref="P42:Q42"/>
    <mergeCell ref="P43:Q43"/>
  </mergeCells>
  <conditionalFormatting sqref="S26:W42">
    <cfRule type="dataBar" priority="5">
      <dataBar>
        <cfvo type="num" val="0"/>
        <cfvo type="formula" val="MAX($S$26:$W$42)*2"/>
        <color theme="3" tint="-0.249977111117893"/>
      </dataBar>
      <extLst>
        <ext xmlns:x14="http://schemas.microsoft.com/office/spreadsheetml/2009/9/main" uri="{B025F937-C7B1-47D3-B67F-A62EFF666E3E}">
          <x14:id>{48E189E4-464C-4BCF-AD17-A4CCEAE10E32}</x14:id>
        </ext>
      </extLs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dataBar" id="{48E189E4-464C-4BCF-AD17-A4CCEAE10E32}">
            <x14:dataBar minLength="0" maxLength="100" gradient="0">
              <x14:cfvo type="num">
                <xm:f>0</xm:f>
              </x14:cfvo>
              <x14:cfvo type="formula">
                <xm:f>MAX($S$26:$W$42)*2</xm:f>
              </x14:cfvo>
              <x14:negativeFillColor rgb="FFFF0000"/>
              <x14:axisColor rgb="FF000000"/>
            </x14:dataBar>
          </x14:cfRule>
          <xm:sqref>S26:W42</xm:sqref>
        </x14:conditionalFormatting>
        <x14:conditionalFormatting xmlns:xm="http://schemas.microsoft.com/office/excel/2006/main">
          <x14:cfRule type="expression" priority="1" id="{F209D283-112F-4D00-8129-42F2CF3EAECF}">
            <xm:f>S$24=Pivots!$A$63</xm:f>
            <x14:dxf>
              <fill>
                <patternFill>
                  <fgColor theme="9" tint="0.59996337778862885"/>
                  <bgColor theme="9" tint="0.59996337778862885"/>
                </patternFill>
              </fill>
              <border>
                <left style="thin">
                  <color auto="1"/>
                </left>
                <right style="thin">
                  <color auto="1"/>
                </right>
                <vertical/>
                <horizontal/>
              </border>
            </x14:dxf>
          </x14:cfRule>
          <xm:sqref>S24:W42</xm:sqref>
        </x14:conditionalFormatting>
      </x14:conditionalFormattings>
    </ex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zoomScale="115" zoomScaleNormal="115" workbookViewId="0">
      <selection activeCell="G3" sqref="G3"/>
    </sheetView>
  </sheetViews>
  <sheetFormatPr defaultRowHeight="13.8"/>
  <cols>
    <col min="5" max="5" width="10.8984375" customWidth="1"/>
    <col min="6" max="6" width="9.8984375" customWidth="1"/>
  </cols>
  <sheetData>
    <row r="2" spans="5:6">
      <c r="E2" t="s">
        <v>1039</v>
      </c>
      <c r="F2" t="s">
        <v>1040</v>
      </c>
    </row>
    <row r="3" spans="5:6" ht="25.5" customHeight="1">
      <c r="E3" t="s">
        <v>11</v>
      </c>
      <c r="F3" t="e" vm="1">
        <v>#VALUE!</v>
      </c>
    </row>
    <row r="4" spans="5:6" ht="25.5" customHeight="1">
      <c r="E4" t="s">
        <v>9</v>
      </c>
      <c r="F4" t="e" vm="2">
        <v>#VALUE!</v>
      </c>
    </row>
    <row r="5" spans="5:6" ht="25.5" customHeight="1">
      <c r="E5" t="s">
        <v>6</v>
      </c>
      <c r="F5" t="e" vm="3">
        <v>#VALUE!</v>
      </c>
    </row>
    <row r="6" spans="5:6" ht="25.5" customHeight="1">
      <c r="E6" t="s">
        <v>13</v>
      </c>
      <c r="F6" t="e" vm="4">
        <v>#VALUE!</v>
      </c>
    </row>
    <row r="7" spans="5:6" ht="25.5" customHeight="1">
      <c r="E7" t="s">
        <v>10</v>
      </c>
      <c r="F7" t="e" vm="5">
        <v>#VALUE!</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Pivots</vt:lpstr>
      <vt:lpstr>Customer center Report</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tanmay khandait</cp:lastModifiedBy>
  <dcterms:created xsi:type="dcterms:W3CDTF">2021-03-14T20:21:32Z</dcterms:created>
  <dcterms:modified xsi:type="dcterms:W3CDTF">2026-09-04T10:19:51Z</dcterms:modified>
</cp:coreProperties>
</file>